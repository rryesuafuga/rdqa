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udget Summary" sheetId="1" state="visible" r:id="rId1"/>
    <sheet xmlns:r="http://schemas.openxmlformats.org/officeDocument/2006/relationships" name="Monthly Breakdown" sheetId="2" state="visible" r:id="rId2"/>
  </sheets>
  <definedNames>
    <definedName name="_xlnm.Print_Area" localSheetId="0">'Budget Summary'!$A$1:$F$53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F72"/>
      <sz val="14"/>
    </font>
    <font>
      <name val="Arial"/>
      <charset val="1"/>
      <family val="0"/>
      <color rgb="FF7F8C8D"/>
      <sz val="10"/>
    </font>
    <font>
      <name val="Arial"/>
      <charset val="1"/>
      <family val="0"/>
      <i val="1"/>
      <color rgb="FF95A5A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C3E50"/>
      <sz val="10"/>
    </font>
    <font>
      <name val="Arial"/>
      <charset val="1"/>
      <family val="0"/>
      <color rgb="FF2C3E50"/>
      <sz val="10"/>
    </font>
    <font>
      <name val="Arial"/>
      <charset val="1"/>
      <family val="0"/>
      <b val="1"/>
      <color rgb="FF1B4F72"/>
      <sz val="11"/>
    </font>
    <font>
      <name val="Arial"/>
      <charset val="1"/>
      <family val="0"/>
      <b val="1"/>
      <color rgb="FF1B4F72"/>
      <sz val="12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B4F72"/>
      <sz val="10"/>
    </font>
    <font>
      <name val="Arial"/>
      <charset val="1"/>
      <family val="0"/>
      <color rgb="FF7F8C8D"/>
      <sz val="9"/>
    </font>
    <font>
      <name val="Arial"/>
      <charset val="1"/>
      <family val="0"/>
      <b val="1"/>
      <color rgb="FF1B4F72"/>
      <sz val="13"/>
    </font>
    <font>
      <name val="Arial"/>
      <charset val="1"/>
      <family val="0"/>
      <b val="1"/>
      <sz val="10"/>
    </font>
    <font>
      <name val="Calibri"/>
      <i val="1"/>
      <color rgb="004A5568"/>
      <sz val="9"/>
    </font>
    <font>
      <name val="Calibri"/>
      <i val="1"/>
      <color rgb="002B6CB0"/>
      <sz val="9"/>
      <u val="single"/>
    </font>
  </fonts>
  <fills count="6">
    <fill>
      <patternFill/>
    </fill>
    <fill>
      <patternFill patternType="gray125"/>
    </fill>
    <fill>
      <patternFill patternType="solid">
        <fgColor rgb="FF1B4F72"/>
        <bgColor rgb="FF2C3E50"/>
      </patternFill>
    </fill>
    <fill>
      <patternFill patternType="solid">
        <fgColor rgb="FFD6EAF8"/>
        <bgColor rgb="FFEBF5FB"/>
      </patternFill>
    </fill>
    <fill>
      <patternFill patternType="solid">
        <fgColor rgb="FFF2F3F4"/>
        <bgColor rgb="FFEBF5FB"/>
      </patternFill>
    </fill>
    <fill>
      <patternFill patternType="solid">
        <fgColor rgb="FFEBF5FB"/>
        <bgColor rgb="FFF2F3F4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left" vertical="center" wrapText="1"/>
    </xf>
    <xf numFmtId="3" fontId="9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3" fontId="9" fillId="0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general" vertical="bottom"/>
    </xf>
    <xf numFmtId="3" fontId="10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3" fontId="11" fillId="5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3" fontId="9" fillId="4" borderId="1" applyAlignment="1" pivotButton="0" quotePrefix="0" xfId="0">
      <alignment horizontal="center" vertical="center" wrapText="1"/>
    </xf>
    <xf numFmtId="3" fontId="13" fillId="4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bottom"/>
    </xf>
    <xf numFmtId="3" fontId="16" fillId="0" borderId="1" applyAlignment="1" pivotButton="0" quotePrefix="0" xfId="0">
      <alignment horizontal="center" vertical="center" wrapText="1"/>
    </xf>
    <xf numFmtId="3" fontId="7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left" vertical="center" wrapText="1"/>
    </xf>
    <xf numFmtId="3" fontId="9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3" fontId="9" fillId="0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general" vertical="bottom"/>
    </xf>
    <xf numFmtId="3" fontId="10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3" fontId="11" fillId="5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2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pivotButton="0" quotePrefix="0" xfId="0"/>
    <xf numFmtId="0" fontId="18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center" vertical="bottom"/>
    </xf>
    <xf numFmtId="3" fontId="9" fillId="4" borderId="1" applyAlignment="1" pivotButton="0" quotePrefix="0" xfId="0">
      <alignment horizontal="center" vertical="center" wrapText="1"/>
    </xf>
    <xf numFmtId="3" fontId="13" fillId="4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bottom"/>
    </xf>
    <xf numFmtId="3" fontId="16" fillId="0" borderId="1" applyAlignment="1" pivotButton="0" quotePrefix="0" xfId="0">
      <alignment horizontal="center" vertical="center" wrapText="1"/>
    </xf>
    <xf numFmtId="3" fontId="7" fillId="2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3F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2E86C1"/>
      <rgbColor rgb="FF33CCCC"/>
      <rgbColor rgb="FF99CC00"/>
      <rgbColor rgb="FFFFCC00"/>
      <rgbColor rgb="FFFF9900"/>
      <rgbColor rgb="FFFF6600"/>
      <rgbColor rgb="FF666699"/>
      <rgbColor rgb="FF95A5A6"/>
      <rgbColor rgb="FF1B4F72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B4F72"/>
    <outlinePr summaryBelow="1" summaryRight="1"/>
    <pageSetUpPr fitToPage="0"/>
  </sheetPr>
  <dimension ref="A1:F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8" customWidth="1" style="29" min="2" max="2"/>
    <col width="18" customWidth="1" style="29" min="3" max="5"/>
    <col width="22" customWidth="1" style="29" min="6" max="6"/>
  </cols>
  <sheetData>
    <row r="1" ht="17.35" customHeight="1" s="30">
      <c r="A1" s="31" t="inlineStr">
        <is>
          <t>TIKO RDQA CONSULTANCY – FINANCIAL PROPOSAL</t>
        </is>
      </c>
    </row>
    <row r="2" ht="15" customHeight="1" s="30">
      <c r="A2" s="32" t="inlineStr">
        <is>
          <t>Routine Data Quality Audits | Kampala &amp; Wakiso Districts | March – December 2026</t>
        </is>
      </c>
    </row>
    <row r="3" ht="15" customHeight="1" s="30">
      <c r="A3" s="33" t="inlineStr">
        <is>
          <t>Submitted by: Paul Mubiri &amp; Raymond R. Wayesu | 13 February 2026</t>
        </is>
      </c>
    </row>
    <row r="5" ht="26.85" customHeight="1" s="30">
      <c r="A5" s="34" t="inlineStr">
        <is>
          <t>#</t>
        </is>
      </c>
      <c r="B5" s="34" t="inlineStr">
        <is>
          <t>Cost Category / Line Item</t>
        </is>
      </c>
      <c r="C5" s="34" t="inlineStr">
        <is>
          <t>Unit Cost (USD)</t>
        </is>
      </c>
      <c r="D5" s="34" t="inlineStr">
        <is>
          <t>Quantity / Units</t>
        </is>
      </c>
      <c r="E5" s="34" t="inlineStr">
        <is>
          <t>Duration / Months</t>
        </is>
      </c>
      <c r="F5" s="34" t="inlineStr">
        <is>
          <t>Total (USD)</t>
        </is>
      </c>
    </row>
    <row r="6" ht="15" customHeight="1" s="30">
      <c r="A6" s="35" t="inlineStr">
        <is>
          <t>A</t>
        </is>
      </c>
      <c r="B6" s="35" t="inlineStr">
        <is>
          <t>PROFESSIONAL FEES</t>
        </is>
      </c>
      <c r="C6" s="35" t="n"/>
      <c r="D6" s="35" t="n"/>
      <c r="E6" s="35" t="n"/>
      <c r="F6" s="35" t="n"/>
    </row>
    <row r="7" ht="15" customHeight="1" s="30">
      <c r="A7" s="36" t="inlineStr">
        <is>
          <t>A1</t>
        </is>
      </c>
      <c r="B7" s="36" t="inlineStr">
        <is>
          <t>Lead Consultant / Team Leader (Paul Mubiri)</t>
        </is>
      </c>
      <c r="C7" s="37" t="n">
        <v>350</v>
      </c>
      <c r="D7" s="36" t="n">
        <v>10</v>
      </c>
      <c r="E7" s="36" t="n">
        <v>10</v>
      </c>
      <c r="F7" s="37">
        <f>C7*D7*E7</f>
        <v/>
      </c>
    </row>
    <row r="8" ht="23.85" customHeight="1" s="30">
      <c r="A8" s="38" t="inlineStr">
        <is>
          <t>A2</t>
        </is>
      </c>
      <c r="B8" s="38" t="inlineStr">
        <is>
          <t>Data Analyst / Biostatistician (Raymond Wayesu)</t>
        </is>
      </c>
      <c r="C8" s="39" t="n">
        <v>300</v>
      </c>
      <c r="D8" s="38" t="n">
        <v>8</v>
      </c>
      <c r="E8" s="38" t="n">
        <v>10</v>
      </c>
      <c r="F8" s="39">
        <f>C8*D8*E8</f>
        <v/>
      </c>
    </row>
    <row r="9" ht="15" customHeight="1" s="30">
      <c r="A9" s="36" t="inlineStr">
        <is>
          <t>A3</t>
        </is>
      </c>
      <c r="B9" s="36" t="inlineStr">
        <is>
          <t>Field Data Quality Auditors (2 persons)</t>
        </is>
      </c>
      <c r="C9" s="37" t="n">
        <v>50</v>
      </c>
      <c r="D9" s="36" t="n">
        <v>20</v>
      </c>
      <c r="E9" s="36" t="n">
        <v>10</v>
      </c>
      <c r="F9" s="37">
        <f>C9*D9*E9</f>
        <v/>
      </c>
    </row>
    <row r="10" ht="15" customHeight="1" s="30">
      <c r="A10" s="38" t="inlineStr">
        <is>
          <t>A4</t>
        </is>
      </c>
      <c r="B10" s="38" t="inlineStr">
        <is>
          <t>Data Entry Support (ad hoc)</t>
        </is>
      </c>
      <c r="C10" s="39" t="n">
        <v>30</v>
      </c>
      <c r="D10" s="38" t="n">
        <v>5</v>
      </c>
      <c r="E10" s="38" t="n">
        <v>10</v>
      </c>
      <c r="F10" s="39">
        <f>C10*D10*E10</f>
        <v/>
      </c>
    </row>
    <row r="11" ht="15" customHeight="1" s="30">
      <c r="A11" s="40" t="n"/>
      <c r="B11" s="40" t="inlineStr">
        <is>
          <t>Subtotal A: Professional Fees</t>
        </is>
      </c>
      <c r="C11" s="40" t="n"/>
      <c r="D11" s="40" t="n"/>
      <c r="E11" s="40" t="n"/>
      <c r="F11" s="41">
        <f>SUM(F7:F10)</f>
        <v/>
      </c>
    </row>
    <row r="12" ht="15" customHeight="1" s="30">
      <c r="A12" s="35" t="inlineStr">
        <is>
          <t>B</t>
        </is>
      </c>
      <c r="B12" s="35" t="inlineStr">
        <is>
          <t>TRANSPORT &amp; LOGISTICS</t>
        </is>
      </c>
      <c r="C12" s="35" t="n"/>
      <c r="D12" s="35" t="n"/>
      <c r="E12" s="35" t="n"/>
      <c r="F12" s="35" t="n"/>
    </row>
    <row r="13" ht="15" customHeight="1" s="30">
      <c r="A13" s="36" t="inlineStr">
        <is>
          <t>B1</t>
        </is>
      </c>
      <c r="B13" s="36" t="inlineStr">
        <is>
          <t>Vehicle hire with driver (field days)</t>
        </is>
      </c>
      <c r="C13" s="37" t="n">
        <v>80</v>
      </c>
      <c r="D13" s="36" t="n">
        <v>15</v>
      </c>
      <c r="E13" s="36" t="n">
        <v>10</v>
      </c>
      <c r="F13" s="37">
        <f>C13*D13*E13</f>
        <v/>
      </c>
    </row>
    <row r="14" ht="15" customHeight="1" s="30">
      <c r="A14" s="38" t="inlineStr">
        <is>
          <t>B2</t>
        </is>
      </c>
      <c r="B14" s="38" t="inlineStr">
        <is>
          <t>Fuel supplement</t>
        </is>
      </c>
      <c r="C14" s="39" t="n">
        <v>20</v>
      </c>
      <c r="D14" s="38" t="n">
        <v>15</v>
      </c>
      <c r="E14" s="38" t="n">
        <v>10</v>
      </c>
      <c r="F14" s="39">
        <f>C14*D14*E14</f>
        <v/>
      </c>
    </row>
    <row r="15" ht="15" customHeight="1" s="30">
      <c r="A15" s="36" t="inlineStr">
        <is>
          <t>B3</t>
        </is>
      </c>
      <c r="B15" s="36" t="inlineStr">
        <is>
          <t>Boda-boda / local transport</t>
        </is>
      </c>
      <c r="C15" s="37" t="n">
        <v>10</v>
      </c>
      <c r="D15" s="36" t="n">
        <v>10</v>
      </c>
      <c r="E15" s="36" t="n">
        <v>10</v>
      </c>
      <c r="F15" s="37">
        <f>C15*D15*E15</f>
        <v/>
      </c>
    </row>
    <row r="16" ht="15" customHeight="1" s="30">
      <c r="A16" s="40" t="n"/>
      <c r="B16" s="40" t="inlineStr">
        <is>
          <t>Subtotal B: Transport &amp; Logistics</t>
        </is>
      </c>
      <c r="C16" s="40" t="n"/>
      <c r="D16" s="40" t="n"/>
      <c r="E16" s="40" t="n"/>
      <c r="F16" s="41">
        <f>SUM(F13:F15)</f>
        <v/>
      </c>
    </row>
    <row r="17" ht="15" customHeight="1" s="30">
      <c r="A17" s="35" t="inlineStr">
        <is>
          <t>C</t>
        </is>
      </c>
      <c r="B17" s="35" t="inlineStr">
        <is>
          <t>DATA COLLECTION &amp; TOOLS</t>
        </is>
      </c>
      <c r="C17" s="35" t="n"/>
      <c r="D17" s="35" t="n"/>
      <c r="E17" s="35" t="n"/>
      <c r="F17" s="35" t="n"/>
    </row>
    <row r="18" ht="15" customHeight="1" s="30">
      <c r="A18" s="36" t="inlineStr">
        <is>
          <t>C1</t>
        </is>
      </c>
      <c r="B18" s="36" t="inlineStr">
        <is>
          <t>KoboToolbox (free humanitarian tier)</t>
        </is>
      </c>
      <c r="C18" s="37" t="n">
        <v>0</v>
      </c>
      <c r="D18" s="36" t="n">
        <v>1</v>
      </c>
      <c r="E18" s="36" t="n">
        <v>10</v>
      </c>
      <c r="F18" s="37">
        <f>C18*D18*E18</f>
        <v/>
      </c>
    </row>
    <row r="19" ht="15" customHeight="1" s="30">
      <c r="A19" s="38" t="inlineStr">
        <is>
          <t>C2</t>
        </is>
      </c>
      <c r="B19" s="38" t="inlineStr">
        <is>
          <t>Printing of backup RDQA forms &amp; checklists</t>
        </is>
      </c>
      <c r="C19" s="39" t="n">
        <v>50</v>
      </c>
      <c r="D19" s="38" t="n">
        <v>1</v>
      </c>
      <c r="E19" s="38" t="n">
        <v>10</v>
      </c>
      <c r="F19" s="39">
        <f>C19*D19*E19</f>
        <v/>
      </c>
    </row>
    <row r="20" ht="15" customHeight="1" s="30">
      <c r="A20" s="36" t="inlineStr">
        <is>
          <t>C3</t>
        </is>
      </c>
      <c r="B20" s="36" t="inlineStr">
        <is>
          <t>Mobile data / internet bundles (field team)</t>
        </is>
      </c>
      <c r="C20" s="37" t="n">
        <v>30</v>
      </c>
      <c r="D20" s="36" t="n">
        <v>4</v>
      </c>
      <c r="E20" s="36" t="n">
        <v>10</v>
      </c>
      <c r="F20" s="37">
        <f>C20*D20*E20</f>
        <v/>
      </c>
    </row>
    <row r="21" ht="15" customHeight="1" s="30">
      <c r="A21" s="38" t="inlineStr">
        <is>
          <t>C4</t>
        </is>
      </c>
      <c r="B21" s="38" t="inlineStr">
        <is>
          <t>Tablet maintenance / charging accessories</t>
        </is>
      </c>
      <c r="C21" s="39" t="n">
        <v>20</v>
      </c>
      <c r="D21" s="38" t="n">
        <v>1</v>
      </c>
      <c r="E21" s="38" t="n">
        <v>10</v>
      </c>
      <c r="F21" s="39">
        <f>C21*D21*E21</f>
        <v/>
      </c>
    </row>
    <row r="22" ht="15" customHeight="1" s="30">
      <c r="A22" s="40" t="n"/>
      <c r="B22" s="40" t="inlineStr">
        <is>
          <t>Subtotal C: Data Collection &amp; Tools</t>
        </is>
      </c>
      <c r="C22" s="40" t="n"/>
      <c r="D22" s="40" t="n"/>
      <c r="E22" s="40" t="n"/>
      <c r="F22" s="41">
        <f>SUM(F18:F21)</f>
        <v/>
      </c>
    </row>
    <row r="23" ht="15" customHeight="1" s="30">
      <c r="A23" s="35" t="inlineStr">
        <is>
          <t>D</t>
        </is>
      </c>
      <c r="B23" s="35" t="inlineStr">
        <is>
          <t>REPORTING &amp; DISSEMINATION</t>
        </is>
      </c>
      <c r="C23" s="35" t="n"/>
      <c r="D23" s="35" t="n"/>
      <c r="E23" s="35" t="n"/>
      <c r="F23" s="35" t="n"/>
    </row>
    <row r="24" ht="15" customHeight="1" s="30">
      <c r="A24" s="36" t="inlineStr">
        <is>
          <t>D1</t>
        </is>
      </c>
      <c r="B24" s="36" t="inlineStr">
        <is>
          <t>Report printing &amp; binding (monthly reports)</t>
        </is>
      </c>
      <c r="C24" s="37" t="n">
        <v>30</v>
      </c>
      <c r="D24" s="36" t="n">
        <v>1</v>
      </c>
      <c r="E24" s="36" t="n">
        <v>10</v>
      </c>
      <c r="F24" s="37">
        <f>C24*D24*E24</f>
        <v/>
      </c>
    </row>
    <row r="25" ht="15" customHeight="1" s="30">
      <c r="A25" s="38" t="inlineStr">
        <is>
          <t>D2</t>
        </is>
      </c>
      <c r="B25" s="38" t="inlineStr">
        <is>
          <t>Quarterly data review session materials</t>
        </is>
      </c>
      <c r="C25" s="39" t="n">
        <v>100</v>
      </c>
      <c r="D25" s="38" t="n">
        <v>1</v>
      </c>
      <c r="E25" s="38" t="n">
        <v>3</v>
      </c>
      <c r="F25" s="39">
        <f>C25*D25*E25</f>
        <v/>
      </c>
    </row>
    <row r="26" ht="23.85" customHeight="1" s="30">
      <c r="A26" s="36" t="inlineStr">
        <is>
          <t>D3</t>
        </is>
      </c>
      <c r="B26" s="36" t="inlineStr">
        <is>
          <t>Quarterly data review session venue (if needed)</t>
        </is>
      </c>
      <c r="C26" s="37" t="n">
        <v>150</v>
      </c>
      <c r="D26" s="36" t="n">
        <v>1</v>
      </c>
      <c r="E26" s="36" t="n">
        <v>3</v>
      </c>
      <c r="F26" s="37">
        <f>C26*D26*E26</f>
        <v/>
      </c>
    </row>
    <row r="27" ht="15" customHeight="1" s="30">
      <c r="A27" s="40" t="n"/>
      <c r="B27" s="40" t="inlineStr">
        <is>
          <t>Subtotal D: Reporting &amp; Dissemination</t>
        </is>
      </c>
      <c r="C27" s="40" t="n"/>
      <c r="D27" s="40" t="n"/>
      <c r="E27" s="40" t="n"/>
      <c r="F27" s="41">
        <f>SUM(F24:F26)</f>
        <v/>
      </c>
    </row>
    <row r="28" ht="15" customHeight="1" s="30">
      <c r="A28" s="35" t="inlineStr">
        <is>
          <t>E</t>
        </is>
      </c>
      <c r="B28" s="35" t="inlineStr">
        <is>
          <t>INCEPTION &amp; TRAINING (ONE-TIME)</t>
        </is>
      </c>
      <c r="C28" s="35" t="n"/>
      <c r="D28" s="35" t="n"/>
      <c r="E28" s="35" t="n"/>
      <c r="F28" s="35" t="n"/>
    </row>
    <row r="29" ht="15" customHeight="1" s="30">
      <c r="A29" s="36" t="inlineStr">
        <is>
          <t>E1</t>
        </is>
      </c>
      <c r="B29" s="36" t="inlineStr">
        <is>
          <t>Inception meetings with KCCA &amp; Wakiso DHT</t>
        </is>
      </c>
      <c r="C29" s="37" t="n">
        <v>200</v>
      </c>
      <c r="D29" s="36" t="n">
        <v>1</v>
      </c>
      <c r="E29" s="36" t="n">
        <v>1</v>
      </c>
      <c r="F29" s="37">
        <f>C29*D29*E29</f>
        <v/>
      </c>
    </row>
    <row r="30" ht="15" customHeight="1" s="30">
      <c r="A30" s="38" t="inlineStr">
        <is>
          <t>E2</t>
        </is>
      </c>
      <c r="B30" s="38" t="inlineStr">
        <is>
          <t>Field auditor training (2 days, 4 persons)</t>
        </is>
      </c>
      <c r="C30" s="39" t="n">
        <v>50</v>
      </c>
      <c r="D30" s="38" t="n">
        <v>4</v>
      </c>
      <c r="E30" s="38" t="n">
        <v>2</v>
      </c>
      <c r="F30" s="39">
        <f>C30*D30*E30</f>
        <v/>
      </c>
    </row>
    <row r="31" ht="15" customHeight="1" s="30">
      <c r="A31" s="36" t="inlineStr">
        <is>
          <t>E3</t>
        </is>
      </c>
      <c r="B31" s="36" t="inlineStr">
        <is>
          <t>Pilot RDQA at 2–3 facilities</t>
        </is>
      </c>
      <c r="C31" s="37" t="n">
        <v>150</v>
      </c>
      <c r="D31" s="36" t="n">
        <v>1</v>
      </c>
      <c r="E31" s="36" t="n">
        <v>1</v>
      </c>
      <c r="F31" s="37">
        <f>C31*D31*E31</f>
        <v/>
      </c>
    </row>
    <row r="32" ht="23.85" customHeight="1" s="30">
      <c r="A32" s="38" t="inlineStr">
        <is>
          <t>E4</t>
        </is>
      </c>
      <c r="B32" s="38" t="inlineStr">
        <is>
          <t>KoboToolbox instrument development &amp; testing</t>
        </is>
      </c>
      <c r="C32" s="39" t="n">
        <v>300</v>
      </c>
      <c r="D32" s="38" t="n">
        <v>1</v>
      </c>
      <c r="E32" s="38" t="n">
        <v>1</v>
      </c>
      <c r="F32" s="39">
        <f>C32*D32*E32</f>
        <v/>
      </c>
    </row>
    <row r="33" ht="15" customHeight="1" s="30">
      <c r="A33" s="40" t="n"/>
      <c r="B33" s="40" t="inlineStr">
        <is>
          <t>Subtotal E: Inception &amp; Training</t>
        </is>
      </c>
      <c r="C33" s="40" t="n"/>
      <c r="D33" s="40" t="n"/>
      <c r="E33" s="40" t="n"/>
      <c r="F33" s="41">
        <f>SUM(F29:F32)</f>
        <v/>
      </c>
    </row>
    <row r="34" ht="15" customHeight="1" s="30">
      <c r="A34" s="35" t="inlineStr">
        <is>
          <t>F</t>
        </is>
      </c>
      <c r="B34" s="35" t="inlineStr">
        <is>
          <t>COMMUNICATION &amp; COORDINATION</t>
        </is>
      </c>
      <c r="C34" s="35" t="n"/>
      <c r="D34" s="35" t="n"/>
      <c r="E34" s="35" t="n"/>
      <c r="F34" s="35" t="n"/>
    </row>
    <row r="35" ht="15" customHeight="1" s="30">
      <c r="A35" s="36" t="inlineStr">
        <is>
          <t>F1</t>
        </is>
      </c>
      <c r="B35" s="36" t="inlineStr">
        <is>
          <t>Airtime &amp; communication (team coordination)</t>
        </is>
      </c>
      <c r="C35" s="37" t="n">
        <v>25</v>
      </c>
      <c r="D35" s="36" t="n">
        <v>1</v>
      </c>
      <c r="E35" s="36" t="n">
        <v>10</v>
      </c>
      <c r="F35" s="37">
        <f>C35*D35*E35</f>
        <v/>
      </c>
    </row>
    <row r="36" ht="15" customHeight="1" s="30">
      <c r="A36" s="38" t="inlineStr">
        <is>
          <t>F2</t>
        </is>
      </c>
      <c r="B36" s="38" t="inlineStr">
        <is>
          <t>Coordination with district health teams</t>
        </is>
      </c>
      <c r="C36" s="39" t="n">
        <v>20</v>
      </c>
      <c r="D36" s="38" t="n">
        <v>1</v>
      </c>
      <c r="E36" s="38" t="n">
        <v>10</v>
      </c>
      <c r="F36" s="39">
        <f>C36*D36*E36</f>
        <v/>
      </c>
    </row>
    <row r="37" ht="15" customHeight="1" s="30">
      <c r="A37" s="40" t="n"/>
      <c r="B37" s="40" t="inlineStr">
        <is>
          <t>Subtotal F: Communication</t>
        </is>
      </c>
      <c r="C37" s="40" t="n"/>
      <c r="D37" s="40" t="n"/>
      <c r="E37" s="40" t="n"/>
      <c r="F37" s="41">
        <f>SUM(F35:F36)</f>
        <v/>
      </c>
    </row>
    <row r="39" ht="15" customHeight="1" s="30">
      <c r="A39" s="42" t="n"/>
      <c r="B39" s="42" t="inlineStr">
        <is>
          <t>SUBTOTAL (A–F)</t>
        </is>
      </c>
      <c r="C39" s="42" t="n"/>
      <c r="D39" s="42" t="n"/>
      <c r="E39" s="42" t="n"/>
      <c r="F39" s="43">
        <f>F11+F16+F22+F27+F33+F37</f>
        <v/>
      </c>
    </row>
    <row r="40" ht="15" customHeight="1" s="30">
      <c r="A40" s="38" t="n"/>
      <c r="B40" s="38" t="inlineStr">
        <is>
          <t>Contingency (7%)</t>
        </is>
      </c>
      <c r="C40" s="44" t="n">
        <v>0.07000000000000001</v>
      </c>
      <c r="D40" s="38" t="n"/>
      <c r="E40" s="38" t="n"/>
      <c r="F40" s="39">
        <f>F39*C40</f>
        <v/>
      </c>
    </row>
    <row r="42" ht="17.35" customHeight="1" s="30">
      <c r="A42" s="45" t="n"/>
      <c r="B42" s="45" t="inlineStr">
        <is>
          <t>GRAND TOTAL (USD)</t>
        </is>
      </c>
      <c r="C42" s="46" t="n"/>
      <c r="D42" s="46" t="n"/>
      <c r="E42" s="47" t="n"/>
      <c r="F42" s="48">
        <f>F39+F40</f>
        <v/>
      </c>
    </row>
    <row r="44" ht="15" customHeight="1" s="30">
      <c r="A44" s="49" t="inlineStr">
        <is>
          <t>NOTES &amp; ASSUMPTIONS</t>
        </is>
      </c>
    </row>
    <row r="45" ht="15" customHeight="1" s="30">
      <c r="A45" s="50" t="inlineStr">
        <is>
          <t>1. All amounts in United States Dollars (USD). Blue-colored values are adjustable inputs.</t>
        </is>
      </c>
    </row>
    <row r="46" ht="15" customHeight="1" s="30">
      <c r="A46" s="50" t="inlineStr">
        <is>
          <t>2. Lead Consultant: 10 working days/month (3 days prep + 5 days field + 2 days reporting).</t>
        </is>
      </c>
    </row>
    <row r="47" ht="15" customHeight="1" s="30">
      <c r="A47" s="50" t="inlineStr">
        <is>
          <t>3. Data Analyst: 8 working days/month (2 days prep/DHIS2 + 3 days field + 3 days analysis/reporting).</t>
        </is>
      </c>
    </row>
    <row r="48" ht="15" customHeight="1" s="30">
      <c r="A48" s="50" t="inlineStr">
        <is>
          <t>4. Field auditors: 2 persons × 10 days/month each at UGX 185,000/day (~USD 50).</t>
        </is>
      </c>
    </row>
    <row r="49" ht="15" customHeight="1" s="30">
      <c r="A49" s="50" t="inlineStr">
        <is>
          <t>5. Vehicle hire based on 15 field days/month across Kampala and Wakiso Districts.</t>
        </is>
      </c>
    </row>
    <row r="50" ht="15" customHeight="1" s="30">
      <c r="A50" s="50" t="inlineStr">
        <is>
          <t>6. KoboToolbox humanitarian tier is free (5,000 submissions/month, 1GB storage).</t>
        </is>
      </c>
    </row>
    <row r="51" ht="15" customHeight="1" s="30">
      <c r="A51" s="50" t="inlineStr">
        <is>
          <t>7. Final costing will be adjusted based on confirmed facility count per month from Tiko.</t>
        </is>
      </c>
    </row>
    <row r="52" ht="15" customHeight="1" s="30">
      <c r="A52" s="50" t="inlineStr">
        <is>
          <t>8. Contingency at 7% covers unforeseen costs, additional facilities, or extended fieldwork.</t>
        </is>
      </c>
    </row>
    <row r="53" ht="15" customHeight="1" s="30">
      <c r="A53" s="50" t="inlineStr">
        <is>
          <t>9. Quarterly data review sessions (3 total) include materials and venue if Tiko offices are unavailable.</t>
        </is>
      </c>
    </row>
    <row r="55">
      <c r="A55" s="51" t="inlineStr">
        <is>
          <t>Interactive RDQA Demo Dashboard:</t>
        </is>
      </c>
      <c r="C55" s="52" t="inlineStr">
        <is>
          <t>https://rdqa-demo.vercel.app/</t>
        </is>
      </c>
    </row>
    <row r="56">
      <c r="A56" s="51" t="inlineStr">
        <is>
          <t>RDQA Web Tool (R/Shiny):</t>
        </is>
      </c>
      <c r="C56" s="52" t="inlineStr">
        <is>
          <t>https://dnfxdz-raymond-wayesu.shinyapps.io/rdqa-web-tool/</t>
        </is>
      </c>
    </row>
  </sheetData>
  <mergeCells count="15">
    <mergeCell ref="A2:F2"/>
    <mergeCell ref="A49:F49"/>
    <mergeCell ref="A52:F52"/>
    <mergeCell ref="A47:F47"/>
    <mergeCell ref="A51:F51"/>
    <mergeCell ref="A46:F46"/>
    <mergeCell ref="A44:F44"/>
    <mergeCell ref="A1:F1"/>
    <mergeCell ref="A45:F45"/>
    <mergeCell ref="A50:F50"/>
    <mergeCell ref="A48:F48"/>
    <mergeCell ref="A3:F3"/>
    <mergeCell ref="B42:E42"/>
    <mergeCell ref="C55:F55"/>
    <mergeCell ref="A53:F5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86C1"/>
    <outlinePr summaryBelow="1" summaryRight="1"/>
    <pageSetUpPr fitToPage="0"/>
  </sheetPr>
  <dimension ref="A1:L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29" min="1" max="1"/>
    <col width="11" customWidth="1" style="29" min="2" max="12"/>
  </cols>
  <sheetData>
    <row r="1" ht="16.15" customHeight="1" s="30">
      <c r="A1" s="53" t="inlineStr">
        <is>
          <t>MONTHLY COST PROJECTION (USD) — March to December 2026</t>
        </is>
      </c>
    </row>
    <row r="3" ht="15" customHeight="1" s="30">
      <c r="A3" s="34" t="inlineStr">
        <is>
          <t>Cost Item</t>
        </is>
      </c>
      <c r="B3" s="34" t="inlineStr">
        <is>
          <t>Mar</t>
        </is>
      </c>
      <c r="C3" s="34" t="inlineStr">
        <is>
          <t>Apr</t>
        </is>
      </c>
      <c r="D3" s="34" t="inlineStr">
        <is>
          <t>May</t>
        </is>
      </c>
      <c r="E3" s="34" t="inlineStr">
        <is>
          <t>Jun</t>
        </is>
      </c>
      <c r="F3" s="34" t="inlineStr">
        <is>
          <t>Jul</t>
        </is>
      </c>
      <c r="G3" s="34" t="inlineStr">
        <is>
          <t>Aug</t>
        </is>
      </c>
      <c r="H3" s="34" t="inlineStr">
        <is>
          <t>Sep</t>
        </is>
      </c>
      <c r="I3" s="34" t="inlineStr">
        <is>
          <t>Oct</t>
        </is>
      </c>
      <c r="J3" s="34" t="inlineStr">
        <is>
          <t>Nov</t>
        </is>
      </c>
      <c r="K3" s="34" t="inlineStr">
        <is>
          <t>Dec</t>
        </is>
      </c>
      <c r="L3" s="34" t="inlineStr">
        <is>
          <t>TOTAL</t>
        </is>
      </c>
    </row>
    <row r="4" ht="15" customHeight="1" s="30">
      <c r="A4" s="36" t="inlineStr">
        <is>
          <t>Lead Consultant (days × rate)</t>
        </is>
      </c>
      <c r="B4" s="54" t="n">
        <v>3500</v>
      </c>
      <c r="C4" s="54" t="n">
        <v>3500</v>
      </c>
      <c r="D4" s="54" t="n">
        <v>3500</v>
      </c>
      <c r="E4" s="54" t="n">
        <v>3500</v>
      </c>
      <c r="F4" s="54" t="n">
        <v>3500</v>
      </c>
      <c r="G4" s="54" t="n">
        <v>3500</v>
      </c>
      <c r="H4" s="54" t="n">
        <v>3500</v>
      </c>
      <c r="I4" s="54" t="n">
        <v>3500</v>
      </c>
      <c r="J4" s="54" t="n">
        <v>3500</v>
      </c>
      <c r="K4" s="54" t="n">
        <v>3500</v>
      </c>
      <c r="L4" s="55">
        <f>SUM(B4:K4)</f>
        <v/>
      </c>
    </row>
    <row r="5" ht="15" customHeight="1" s="30">
      <c r="A5" s="38" t="inlineStr">
        <is>
          <t>Data Analyst (days × rate)</t>
        </is>
      </c>
      <c r="B5" s="56" t="n">
        <v>2400</v>
      </c>
      <c r="C5" s="56" t="n">
        <v>2400</v>
      </c>
      <c r="D5" s="56" t="n">
        <v>2400</v>
      </c>
      <c r="E5" s="56" t="n">
        <v>2400</v>
      </c>
      <c r="F5" s="56" t="n">
        <v>2400</v>
      </c>
      <c r="G5" s="56" t="n">
        <v>2400</v>
      </c>
      <c r="H5" s="56" t="n">
        <v>2400</v>
      </c>
      <c r="I5" s="56" t="n">
        <v>2400</v>
      </c>
      <c r="J5" s="56" t="n">
        <v>2400</v>
      </c>
      <c r="K5" s="56" t="n">
        <v>2400</v>
      </c>
      <c r="L5" s="57">
        <f>SUM(B5:K5)</f>
        <v/>
      </c>
    </row>
    <row r="6" ht="15" customHeight="1" s="30">
      <c r="A6" s="36" t="inlineStr">
        <is>
          <t>Field Auditors (2 × days × rate)</t>
        </is>
      </c>
      <c r="B6" s="54" t="n">
        <v>1000</v>
      </c>
      <c r="C6" s="54" t="n">
        <v>1000</v>
      </c>
      <c r="D6" s="54" t="n">
        <v>1000</v>
      </c>
      <c r="E6" s="54" t="n">
        <v>1000</v>
      </c>
      <c r="F6" s="54" t="n">
        <v>1000</v>
      </c>
      <c r="G6" s="54" t="n">
        <v>1000</v>
      </c>
      <c r="H6" s="54" t="n">
        <v>1000</v>
      </c>
      <c r="I6" s="54" t="n">
        <v>1000</v>
      </c>
      <c r="J6" s="54" t="n">
        <v>1000</v>
      </c>
      <c r="K6" s="54" t="n">
        <v>1000</v>
      </c>
      <c r="L6" s="55">
        <f>SUM(B6:K6)</f>
        <v/>
      </c>
    </row>
    <row r="7" ht="15" customHeight="1" s="30">
      <c r="A7" s="38" t="inlineStr">
        <is>
          <t>Data Entry Support</t>
        </is>
      </c>
      <c r="B7" s="56" t="n">
        <v>150</v>
      </c>
      <c r="C7" s="56" t="n">
        <v>150</v>
      </c>
      <c r="D7" s="56" t="n">
        <v>150</v>
      </c>
      <c r="E7" s="56" t="n">
        <v>150</v>
      </c>
      <c r="F7" s="56" t="n">
        <v>150</v>
      </c>
      <c r="G7" s="56" t="n">
        <v>150</v>
      </c>
      <c r="H7" s="56" t="n">
        <v>150</v>
      </c>
      <c r="I7" s="56" t="n">
        <v>150</v>
      </c>
      <c r="J7" s="56" t="n">
        <v>150</v>
      </c>
      <c r="K7" s="56" t="n">
        <v>150</v>
      </c>
      <c r="L7" s="57">
        <f>SUM(B7:K7)</f>
        <v/>
      </c>
    </row>
    <row r="8" ht="15" customHeight="1" s="30">
      <c r="A8" s="36" t="inlineStr">
        <is>
          <t>Vehicle hire &amp; fuel</t>
        </is>
      </c>
      <c r="B8" s="54" t="n">
        <v>1500</v>
      </c>
      <c r="C8" s="54" t="n">
        <v>1500</v>
      </c>
      <c r="D8" s="54" t="n">
        <v>1500</v>
      </c>
      <c r="E8" s="54" t="n">
        <v>1500</v>
      </c>
      <c r="F8" s="54" t="n">
        <v>1500</v>
      </c>
      <c r="G8" s="54" t="n">
        <v>1500</v>
      </c>
      <c r="H8" s="54" t="n">
        <v>1500</v>
      </c>
      <c r="I8" s="54" t="n">
        <v>1500</v>
      </c>
      <c r="J8" s="54" t="n">
        <v>1500</v>
      </c>
      <c r="K8" s="54" t="n">
        <v>1500</v>
      </c>
      <c r="L8" s="55">
        <f>SUM(B8:K8)</f>
        <v/>
      </c>
    </row>
    <row r="9" ht="15" customHeight="1" s="30">
      <c r="A9" s="38" t="inlineStr">
        <is>
          <t>Local transport</t>
        </is>
      </c>
      <c r="B9" s="56" t="n">
        <v>100</v>
      </c>
      <c r="C9" s="56" t="n">
        <v>100</v>
      </c>
      <c r="D9" s="56" t="n">
        <v>100</v>
      </c>
      <c r="E9" s="56" t="n">
        <v>100</v>
      </c>
      <c r="F9" s="56" t="n">
        <v>100</v>
      </c>
      <c r="G9" s="56" t="n">
        <v>100</v>
      </c>
      <c r="H9" s="56" t="n">
        <v>100</v>
      </c>
      <c r="I9" s="56" t="n">
        <v>100</v>
      </c>
      <c r="J9" s="56" t="n">
        <v>100</v>
      </c>
      <c r="K9" s="56" t="n">
        <v>100</v>
      </c>
      <c r="L9" s="57">
        <f>SUM(B9:K9)</f>
        <v/>
      </c>
    </row>
    <row r="10" ht="15" customHeight="1" s="30">
      <c r="A10" s="36" t="inlineStr">
        <is>
          <t>Mobile data / internet</t>
        </is>
      </c>
      <c r="B10" s="54" t="n">
        <v>120</v>
      </c>
      <c r="C10" s="54" t="n">
        <v>120</v>
      </c>
      <c r="D10" s="54" t="n">
        <v>120</v>
      </c>
      <c r="E10" s="54" t="n">
        <v>120</v>
      </c>
      <c r="F10" s="54" t="n">
        <v>120</v>
      </c>
      <c r="G10" s="54" t="n">
        <v>120</v>
      </c>
      <c r="H10" s="54" t="n">
        <v>120</v>
      </c>
      <c r="I10" s="54" t="n">
        <v>120</v>
      </c>
      <c r="J10" s="54" t="n">
        <v>120</v>
      </c>
      <c r="K10" s="54" t="n">
        <v>120</v>
      </c>
      <c r="L10" s="55">
        <f>SUM(B10:K10)</f>
        <v/>
      </c>
    </row>
    <row r="11" ht="15" customHeight="1" s="30">
      <c r="A11" s="38" t="inlineStr">
        <is>
          <t>Printing &amp; materials</t>
        </is>
      </c>
      <c r="B11" s="56" t="n">
        <v>80</v>
      </c>
      <c r="C11" s="56" t="n">
        <v>80</v>
      </c>
      <c r="D11" s="56" t="n">
        <v>80</v>
      </c>
      <c r="E11" s="56" t="n">
        <v>80</v>
      </c>
      <c r="F11" s="56" t="n">
        <v>80</v>
      </c>
      <c r="G11" s="56" t="n">
        <v>80</v>
      </c>
      <c r="H11" s="56" t="n">
        <v>80</v>
      </c>
      <c r="I11" s="56" t="n">
        <v>80</v>
      </c>
      <c r="J11" s="56" t="n">
        <v>80</v>
      </c>
      <c r="K11" s="56" t="n">
        <v>80</v>
      </c>
      <c r="L11" s="57">
        <f>SUM(B11:K11)</f>
        <v/>
      </c>
    </row>
    <row r="12" ht="15" customHeight="1" s="30">
      <c r="A12" s="36" t="inlineStr">
        <is>
          <t>Communication</t>
        </is>
      </c>
      <c r="B12" s="54" t="n">
        <v>45</v>
      </c>
      <c r="C12" s="54" t="n">
        <v>45</v>
      </c>
      <c r="D12" s="54" t="n">
        <v>45</v>
      </c>
      <c r="E12" s="54" t="n">
        <v>45</v>
      </c>
      <c r="F12" s="54" t="n">
        <v>45</v>
      </c>
      <c r="G12" s="54" t="n">
        <v>45</v>
      </c>
      <c r="H12" s="54" t="n">
        <v>45</v>
      </c>
      <c r="I12" s="54" t="n">
        <v>45</v>
      </c>
      <c r="J12" s="54" t="n">
        <v>45</v>
      </c>
      <c r="K12" s="54" t="n">
        <v>45</v>
      </c>
      <c r="L12" s="55">
        <f>SUM(B12:K12)</f>
        <v/>
      </c>
    </row>
    <row r="13" ht="15" customHeight="1" s="30">
      <c r="A13" s="38" t="inlineStr">
        <is>
          <t>Quarterly review session</t>
        </is>
      </c>
      <c r="B13" s="56" t="n">
        <v>0</v>
      </c>
      <c r="C13" s="56" t="n">
        <v>0</v>
      </c>
      <c r="D13" s="56" t="n">
        <v>0</v>
      </c>
      <c r="E13" s="56" t="n">
        <v>350</v>
      </c>
      <c r="F13" s="56" t="n">
        <v>0</v>
      </c>
      <c r="G13" s="56" t="n">
        <v>0</v>
      </c>
      <c r="H13" s="56" t="n">
        <v>350</v>
      </c>
      <c r="I13" s="56" t="n">
        <v>0</v>
      </c>
      <c r="J13" s="56" t="n">
        <v>0</v>
      </c>
      <c r="K13" s="56" t="n">
        <v>350</v>
      </c>
      <c r="L13" s="57">
        <f>SUM(B13:K13)</f>
        <v/>
      </c>
    </row>
    <row r="14" ht="15" customHeight="1" s="30">
      <c r="A14" s="58" t="inlineStr">
        <is>
          <t>MONTHLY TOTAL</t>
        </is>
      </c>
      <c r="B14" s="59">
        <f>SUM(B4:B13)</f>
        <v/>
      </c>
      <c r="C14" s="59">
        <f>SUM(C4:C13)</f>
        <v/>
      </c>
      <c r="D14" s="59">
        <f>SUM(D4:D13)</f>
        <v/>
      </c>
      <c r="E14" s="59">
        <f>SUM(E4:E13)</f>
        <v/>
      </c>
      <c r="F14" s="59">
        <f>SUM(F4:F13)</f>
        <v/>
      </c>
      <c r="G14" s="59">
        <f>SUM(G4:G13)</f>
        <v/>
      </c>
      <c r="H14" s="59">
        <f>SUM(H4:H13)</f>
        <v/>
      </c>
      <c r="I14" s="59">
        <f>SUM(I4:I13)</f>
        <v/>
      </c>
      <c r="J14" s="59">
        <f>SUM(J4:J13)</f>
        <v/>
      </c>
      <c r="K14" s="59">
        <f>SUM(K4:K13)</f>
        <v/>
      </c>
      <c r="L14" s="59">
        <f>SUM(L4:L13)</f>
        <v/>
      </c>
    </row>
    <row r="15" ht="15" customHeight="1" s="30">
      <c r="A15" s="60" t="inlineStr">
        <is>
          <t>One-time inception costs (March only)</t>
        </is>
      </c>
      <c r="B15" s="56" t="n">
        <v>1050</v>
      </c>
      <c r="L15" s="61">
        <f>SUM(B15:K15)</f>
        <v/>
      </c>
    </row>
    <row r="16" ht="15" customHeight="1" s="30">
      <c r="A16" s="34" t="inlineStr">
        <is>
          <t>CUMULATIVE TOTAL</t>
        </is>
      </c>
      <c r="B16" s="62">
        <f>B14+B15</f>
        <v/>
      </c>
      <c r="C16" s="62">
        <f>C14+C15</f>
        <v/>
      </c>
      <c r="D16" s="62">
        <f>D14+D15</f>
        <v/>
      </c>
      <c r="E16" s="62">
        <f>E14+E15</f>
        <v/>
      </c>
      <c r="F16" s="62">
        <f>F14+F15</f>
        <v/>
      </c>
      <c r="G16" s="62">
        <f>G14+G15</f>
        <v/>
      </c>
      <c r="H16" s="62">
        <f>H14+H15</f>
        <v/>
      </c>
      <c r="I16" s="62">
        <f>I14+I15</f>
        <v/>
      </c>
      <c r="J16" s="62">
        <f>J14+J15</f>
        <v/>
      </c>
      <c r="K16" s="62">
        <f>K14+K15</f>
        <v/>
      </c>
      <c r="L16" s="62">
        <f>L14+L15</f>
        <v/>
      </c>
    </row>
    <row r="18">
      <c r="A18" s="51" t="inlineStr">
        <is>
          <t>Interactive RDQA Demo Dashboard:</t>
        </is>
      </c>
      <c r="C18" s="52" t="inlineStr">
        <is>
          <t>https://rdqa-demo.vercel.app/</t>
        </is>
      </c>
    </row>
    <row r="19">
      <c r="A19" s="51" t="inlineStr">
        <is>
          <t>RDQA Web Tool (R/Shiny):</t>
        </is>
      </c>
      <c r="C19" s="52" t="inlineStr">
        <is>
          <t>https://dnfxdz-raymond-wayesu.shinyapps.io/rdqa-web-tool/</t>
        </is>
      </c>
    </row>
  </sheetData>
  <mergeCells count="2">
    <mergeCell ref="C18:F18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2026-02-11T06:15:26Z</dcterms:created>
  <dcterms:modified xmlns:dcterms="http://purl.org/dc/terms/" xmlns:xsi="http://www.w3.org/2001/XMLSchema-instance" xsi:type="dcterms:W3CDTF">2026-02-11T15:07:41Z</dcterms:modified>
  <cp:revision>0</cp:revision>
</cp:coreProperties>
</file>