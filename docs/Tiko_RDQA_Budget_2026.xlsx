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Summary" sheetId="1" state="visible" r:id="rId1"/>
  </sheets>
  <definedNames>
    <definedName name="_xlnm.Print_Area" localSheetId="0">'Budget Summary'!$A$1:$F$38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color rgb="004A5568"/>
      <sz val="10"/>
    </font>
    <font>
      <name val="Calibri"/>
      <color rgb="004A5568"/>
      <sz val="10"/>
    </font>
    <font>
      <name val="Calibri"/>
      <b val="1"/>
      <color rgb="00FFFFFF"/>
      <sz val="10"/>
    </font>
    <font>
      <name val="Calibri"/>
      <b val="1"/>
      <color rgb="001A365D"/>
      <sz val="10"/>
    </font>
    <font>
      <name val="Calibri"/>
      <sz val="10"/>
    </font>
    <font>
      <name val="Calibri"/>
      <b val="1"/>
      <sz val="10"/>
    </font>
    <font>
      <name val="Calibri"/>
      <b val="1"/>
      <i val="1"/>
      <sz val="10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718096"/>
      <sz val="9"/>
    </font>
    <font>
      <name val="Calibri"/>
      <color rgb="004A5568"/>
      <sz val="9"/>
    </font>
    <font>
      <name val="Calibri"/>
      <color rgb="002E86C1"/>
      <sz val="9"/>
      <u val="single"/>
    </font>
  </fonts>
  <fills count="6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EBF5FB"/>
        <bgColor rgb="00EBF5FB"/>
      </patternFill>
    </fill>
    <fill>
      <patternFill patternType="solid">
        <fgColor rgb="00F7F8FC"/>
        <bgColor rgb="00F7F8FC"/>
      </patternFill>
    </fill>
    <fill>
      <patternFill patternType="solid">
        <fgColor rgb="002E86C1"/>
        <bgColor rgb="002E86C1"/>
      </patternFill>
    </fill>
  </fills>
  <borders count="3">
    <border>
      <left/>
      <right/>
      <top/>
      <bottom/>
      <diagonal/>
    </border>
    <border>
      <bottom style="thin">
        <color rgb="00E2E8F0"/>
      </bottom>
    </border>
    <border>
      <top style="medium">
        <color rgb="001A365D"/>
      </top>
      <bottom style="medium">
        <color rgb="001A365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0" fontId="6" fillId="0" borderId="1" pivotButton="0" quotePrefix="0" xfId="0"/>
    <xf numFmtId="164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0" fontId="0" fillId="4" borderId="0" pivotButton="0" quotePrefix="0" xfId="0"/>
    <xf numFmtId="0" fontId="8" fillId="4" borderId="0" pivotButton="0" quotePrefix="0" xfId="0"/>
    <xf numFmtId="164" fontId="8" fillId="4" borderId="0" applyAlignment="1" pivotButton="0" quotePrefix="0" xfId="0">
      <alignment horizontal="center"/>
    </xf>
    <xf numFmtId="0" fontId="0" fillId="2" borderId="2" pivotButton="0" quotePrefix="0" xfId="0"/>
    <xf numFmtId="0" fontId="9" fillId="2" borderId="2" pivotButton="0" quotePrefix="0" xfId="0"/>
    <xf numFmtId="164" fontId="9" fillId="2" borderId="2" applyAlignment="1" pivotButton="0" quotePrefix="0" xfId="0">
      <alignment horizontal="center"/>
    </xf>
    <xf numFmtId="0" fontId="0" fillId="5" borderId="0" pivotButton="0" quotePrefix="0" xfId="0"/>
    <xf numFmtId="0" fontId="10" fillId="5" borderId="0" pivotButton="0" quotePrefix="0" xfId="0"/>
    <xf numFmtId="164" fontId="10" fillId="5" borderId="0" applyAlignment="1" pivotButton="0" quotePrefix="0" xfId="0">
      <alignment horizontal="center"/>
    </xf>
    <xf numFmtId="0" fontId="11" fillId="0" borderId="0" pivotButton="0" quotePrefix="0" xfId="0"/>
    <xf numFmtId="0" fontId="5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8" customWidth="1" min="3" max="3"/>
    <col width="16" customWidth="1" min="4" max="4"/>
    <col width="20" customWidth="1" min="5" max="5"/>
    <col width="16" customWidth="1" min="6" max="6"/>
  </cols>
  <sheetData>
    <row r="1" ht="30" customHeight="1">
      <c r="A1" s="1" t="inlineStr">
        <is>
          <t>TIKO RDQA CONSULTANCY – FINANCIAL PROPOSAL</t>
        </is>
      </c>
    </row>
    <row r="2">
      <c r="A2" s="2" t="inlineStr">
        <is>
          <t>Routine Data Quality Audits | Kampala &amp; Wakiso Districts | March – December 2026</t>
        </is>
      </c>
    </row>
    <row r="3">
      <c r="A3" s="3" t="inlineStr">
        <is>
          <t>Submitted by: Paul Mubiri &amp; Raymond R. Wayesu | February 2026</t>
        </is>
      </c>
    </row>
    <row r="5" ht="28" customHeight="1">
      <c r="A5" s="4" t="inlineStr">
        <is>
          <t>#</t>
        </is>
      </c>
      <c r="B5" s="4" t="inlineStr">
        <is>
          <t>Cost Category / Line Item</t>
        </is>
      </c>
      <c r="C5" s="5" t="inlineStr">
        <is>
          <t>Unit Cost (USD)</t>
        </is>
      </c>
      <c r="D5" s="5" t="inlineStr">
        <is>
          <t>Days/Units</t>
        </is>
      </c>
      <c r="E5" s="5" t="inlineStr">
        <is>
          <t>Duration / Months</t>
        </is>
      </c>
      <c r="F5" s="5" t="inlineStr">
        <is>
          <t>Total (USD)</t>
        </is>
      </c>
    </row>
    <row r="6">
      <c r="A6" s="6" t="inlineStr">
        <is>
          <t>A</t>
        </is>
      </c>
      <c r="B6" s="6" t="inlineStr">
        <is>
          <t>PROFESSIONAL FEES</t>
        </is>
      </c>
      <c r="C6" s="7" t="n"/>
      <c r="D6" s="7" t="n"/>
      <c r="E6" s="7" t="n"/>
      <c r="F6" s="7" t="n"/>
    </row>
    <row r="7">
      <c r="A7" s="8" t="inlineStr">
        <is>
          <t>A1</t>
        </is>
      </c>
      <c r="B7" s="8" t="inlineStr">
        <is>
          <t>Lead Consultant / Team Leader (Paul Mubiri)</t>
        </is>
      </c>
      <c r="C7" s="9" t="n">
        <v>120</v>
      </c>
      <c r="D7" s="10" t="n">
        <v>5</v>
      </c>
      <c r="E7" s="10" t="n">
        <v>10</v>
      </c>
      <c r="F7" s="11">
        <f>C7*D7*E7</f>
        <v/>
      </c>
    </row>
    <row r="8">
      <c r="A8" s="8" t="inlineStr">
        <is>
          <t>A2</t>
        </is>
      </c>
      <c r="B8" s="8" t="inlineStr">
        <is>
          <t>Data Analyst / Biostatistician (Raymond Wayesu)</t>
        </is>
      </c>
      <c r="C8" s="9" t="n">
        <v>100</v>
      </c>
      <c r="D8" s="10" t="n">
        <v>5</v>
      </c>
      <c r="E8" s="10" t="n">
        <v>10</v>
      </c>
      <c r="F8" s="11">
        <f>C8*D8*E8</f>
        <v/>
      </c>
    </row>
    <row r="9">
      <c r="A9" s="12" t="n"/>
      <c r="B9" s="13" t="inlineStr">
        <is>
          <t>Subtotal A: Professional Fees</t>
        </is>
      </c>
      <c r="C9" s="12" t="n"/>
      <c r="D9" s="12" t="n"/>
      <c r="E9" s="12" t="n"/>
      <c r="F9" s="14">
        <f>SUM(F7:F8)</f>
        <v/>
      </c>
    </row>
    <row r="10">
      <c r="A10" s="6" t="inlineStr">
        <is>
          <t>B</t>
        </is>
      </c>
      <c r="B10" s="6" t="inlineStr">
        <is>
          <t>TRANSPORT &amp; LOGISTICS</t>
        </is>
      </c>
      <c r="C10" s="7" t="n"/>
      <c r="D10" s="7" t="n"/>
      <c r="E10" s="7" t="n"/>
      <c r="F10" s="7" t="n"/>
    </row>
    <row r="11">
      <c r="A11" s="8" t="inlineStr">
        <is>
          <t>B1</t>
        </is>
      </c>
      <c r="B11" s="8" t="inlineStr">
        <is>
          <t>Vehicle hire with driver (field days)</t>
        </is>
      </c>
      <c r="C11" s="9" t="n">
        <v>0</v>
      </c>
      <c r="D11" s="10" t="n">
        <v>5</v>
      </c>
      <c r="E11" s="10" t="n">
        <v>10</v>
      </c>
      <c r="F11" s="11">
        <f>C11*D11*E11</f>
        <v/>
      </c>
    </row>
    <row r="12">
      <c r="A12" s="8" t="inlineStr">
        <is>
          <t>B2</t>
        </is>
      </c>
      <c r="B12" s="8" t="inlineStr">
        <is>
          <t>Fuel</t>
        </is>
      </c>
      <c r="C12" s="9" t="n">
        <v>0</v>
      </c>
      <c r="D12" s="10" t="n">
        <v>5</v>
      </c>
      <c r="E12" s="10" t="n">
        <v>10</v>
      </c>
      <c r="F12" s="11">
        <f>C12*D12*E12</f>
        <v/>
      </c>
    </row>
    <row r="13">
      <c r="A13" s="12" t="n"/>
      <c r="B13" s="13" t="inlineStr">
        <is>
          <t>Subtotal B: Transport &amp; Logistics</t>
        </is>
      </c>
      <c r="C13" s="12" t="n"/>
      <c r="D13" s="12" t="n"/>
      <c r="E13" s="12" t="n"/>
      <c r="F13" s="14">
        <f>SUM(F11:F12)</f>
        <v/>
      </c>
    </row>
    <row r="14">
      <c r="A14" s="6" t="inlineStr">
        <is>
          <t>C</t>
        </is>
      </c>
      <c r="B14" s="6" t="inlineStr">
        <is>
          <t>DATA COLLECTION &amp; TOOLS</t>
        </is>
      </c>
      <c r="C14" s="7" t="n"/>
      <c r="D14" s="7" t="n"/>
      <c r="E14" s="7" t="n"/>
      <c r="F14" s="7" t="n"/>
    </row>
    <row r="15">
      <c r="A15" s="8" t="inlineStr">
        <is>
          <t>C1</t>
        </is>
      </c>
      <c r="B15" s="8" t="inlineStr">
        <is>
          <t>KoboToolbox</t>
        </is>
      </c>
      <c r="C15" s="9" t="n">
        <v>100</v>
      </c>
      <c r="D15" s="10" t="n">
        <v>1</v>
      </c>
      <c r="E15" s="10" t="n">
        <v>1</v>
      </c>
      <c r="F15" s="11">
        <f>C15*D15*E15</f>
        <v/>
      </c>
    </row>
    <row r="16">
      <c r="A16" s="8" t="inlineStr">
        <is>
          <t>C2</t>
        </is>
      </c>
      <c r="B16" s="8" t="inlineStr">
        <is>
          <t>Printing RDQA forms &amp; checklists</t>
        </is>
      </c>
      <c r="C16" s="9" t="n">
        <v>20</v>
      </c>
      <c r="D16" s="10" t="n">
        <v>1</v>
      </c>
      <c r="E16" s="10" t="n">
        <v>10</v>
      </c>
      <c r="F16" s="11">
        <f>C16*D16*E16</f>
        <v/>
      </c>
    </row>
    <row r="17">
      <c r="A17" s="8" t="inlineStr">
        <is>
          <t>C3</t>
        </is>
      </c>
      <c r="B17" s="8" t="inlineStr">
        <is>
          <t>Mobile data / internet bundles (field team)</t>
        </is>
      </c>
      <c r="C17" s="9" t="n">
        <v>10</v>
      </c>
      <c r="D17" s="10" t="n">
        <v>1</v>
      </c>
      <c r="E17" s="10" t="n">
        <v>10</v>
      </c>
      <c r="F17" s="11">
        <f>C17*D17*E17</f>
        <v/>
      </c>
    </row>
    <row r="18">
      <c r="A18" s="12" t="n"/>
      <c r="B18" s="13" t="inlineStr">
        <is>
          <t>Subtotal C: Data Collection &amp; Tools</t>
        </is>
      </c>
      <c r="C18" s="12" t="n"/>
      <c r="D18" s="12" t="n"/>
      <c r="E18" s="12" t="n"/>
      <c r="F18" s="14">
        <f>SUM(F15:F17)</f>
        <v/>
      </c>
    </row>
    <row r="19">
      <c r="A19" s="6" t="inlineStr">
        <is>
          <t>D</t>
        </is>
      </c>
      <c r="B19" s="6" t="inlineStr">
        <is>
          <t>COMMUNICATION &amp; COORDINATION</t>
        </is>
      </c>
      <c r="C19" s="7" t="n"/>
      <c r="D19" s="7" t="n"/>
      <c r="E19" s="7" t="n"/>
      <c r="F19" s="7" t="n"/>
    </row>
    <row r="20">
      <c r="A20" s="8" t="inlineStr">
        <is>
          <t>D1</t>
        </is>
      </c>
      <c r="B20" s="8" t="inlineStr">
        <is>
          <t>Airtime &amp; communication (team coordination)</t>
        </is>
      </c>
      <c r="C20" s="9" t="n">
        <v>15</v>
      </c>
      <c r="D20" s="10" t="n">
        <v>1</v>
      </c>
      <c r="E20" s="10" t="n">
        <v>10</v>
      </c>
      <c r="F20" s="11">
        <f>C20*D20*E20</f>
        <v/>
      </c>
    </row>
    <row r="21">
      <c r="A21" s="8" t="inlineStr">
        <is>
          <t>D2</t>
        </is>
      </c>
      <c r="B21" s="8" t="inlineStr">
        <is>
          <t>Others</t>
        </is>
      </c>
      <c r="C21" s="9" t="n">
        <v>10</v>
      </c>
      <c r="D21" s="10" t="n">
        <v>1</v>
      </c>
      <c r="E21" s="10" t="n">
        <v>10</v>
      </c>
      <c r="F21" s="11">
        <f>C21*D21*E21</f>
        <v/>
      </c>
    </row>
    <row r="22">
      <c r="A22" s="12" t="n"/>
      <c r="B22" s="13" t="inlineStr">
        <is>
          <t>Subtotal D: Communication</t>
        </is>
      </c>
      <c r="C22" s="12" t="n"/>
      <c r="D22" s="12" t="n"/>
      <c r="E22" s="12" t="n"/>
      <c r="F22" s="14">
        <f>SUM(F20:F21)</f>
        <v/>
      </c>
    </row>
    <row r="24" ht="28" customHeight="1">
      <c r="A24" s="15" t="n"/>
      <c r="B24" s="16" t="inlineStr">
        <is>
          <t>SUBTOTAL (A–D)</t>
        </is>
      </c>
      <c r="C24" s="15" t="n"/>
      <c r="D24" s="15" t="n"/>
      <c r="E24" s="15" t="n"/>
      <c r="F24" s="17">
        <f>F9+F13+F18+F22</f>
        <v/>
      </c>
    </row>
    <row r="26" ht="32" customHeight="1">
      <c r="A26" s="18" t="n"/>
      <c r="B26" s="19" t="inlineStr">
        <is>
          <t>GRAND TOTAL (USD)</t>
        </is>
      </c>
      <c r="C26" s="18" t="n"/>
      <c r="D26" s="18" t="n"/>
      <c r="E26" s="18" t="n"/>
      <c r="F26" s="20">
        <f>F24</f>
        <v/>
      </c>
    </row>
    <row r="28">
      <c r="A28" s="21" t="inlineStr"/>
    </row>
    <row r="29">
      <c r="A29" s="22" t="inlineStr">
        <is>
          <t>NOTES &amp; ASSUMPTIONS</t>
        </is>
      </c>
    </row>
    <row r="30">
      <c r="A30" s="21" t="inlineStr">
        <is>
          <t>1. All amounts in United States Dollars (USD).</t>
        </is>
      </c>
    </row>
    <row r="31">
      <c r="A31" s="21" t="inlineStr">
        <is>
          <t>2. Lead Consultant: 5 working days/month (field visits + analysis + reporting).</t>
        </is>
      </c>
    </row>
    <row r="32">
      <c r="A32" s="21" t="inlineStr">
        <is>
          <t>3. Data Analyst: 5 working days/month (data verification + analysis + dashboards).</t>
        </is>
      </c>
    </row>
    <row r="33">
      <c r="A33" s="21" t="inlineStr">
        <is>
          <t>4. Transport costs excluded — team will use existing resources.</t>
        </is>
      </c>
    </row>
    <row r="34">
      <c r="A34" s="21" t="inlineStr">
        <is>
          <t>5. KoboToolbox subscription for enhanced data collection features.</t>
        </is>
      </c>
    </row>
    <row r="35">
      <c r="A35" s="21" t="inlineStr">
        <is>
          <t>6. Final costing will be adjusted based on confirmed facility count per month from Tiko.</t>
        </is>
      </c>
    </row>
    <row r="37">
      <c r="A37" s="23" t="inlineStr">
        <is>
          <t>Interactive RDQA Demo Dashboard:</t>
        </is>
      </c>
      <c r="C37" s="24" t="inlineStr">
        <is>
          <t>https://rdqa-demo.vercel.app/</t>
        </is>
      </c>
    </row>
    <row r="38">
      <c r="A38" s="23" t="inlineStr">
        <is>
          <t>RDQA Web Tool (R/Shiny):</t>
        </is>
      </c>
      <c r="C38" s="24" t="inlineStr">
        <is>
          <t>https://dnfxdz-raymond-wayesu.shinyapps.io/rdqa-web-tool/</t>
        </is>
      </c>
    </row>
  </sheetData>
  <mergeCells count="11">
    <mergeCell ref="A2:F2"/>
    <mergeCell ref="A33:F33"/>
    <mergeCell ref="A28:F28"/>
    <mergeCell ref="A1:F1"/>
    <mergeCell ref="A32:F32"/>
    <mergeCell ref="A31:F31"/>
    <mergeCell ref="A34:F34"/>
    <mergeCell ref="A35:F35"/>
    <mergeCell ref="A3:F3"/>
    <mergeCell ref="A30:F3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2026-02-13T01:16:23Z</dcterms:created>
  <dcterms:modified xmlns:dcterms="http://purl.org/dc/terms/" xmlns:xsi="http://www.w3.org/2001/XMLSchema-instance" xsi:type="dcterms:W3CDTF">2026-02-13T01:16:23Z</dcterms:modified>
</cp:coreProperties>
</file>