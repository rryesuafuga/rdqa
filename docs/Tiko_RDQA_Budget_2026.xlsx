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Summary" sheetId="1" state="visible" r:id="rId3"/>
    <sheet name="Monthly Breakdown" sheetId="2" state="visible" r:id="rId4"/>
  </sheets>
  <definedNames>
    <definedName function="false" hidden="false" localSheetId="0" name="_xlnm.Print_Area" vbProcedure="false">'Budget Summary'!$A$1:$F$53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<sst xmlns="http://schemas.openxmlformats.org/spreadsheetml/2006/main" count="106" uniqueCount="106">
  <si>
    <t xml:space="preserve">TIKO RDQA CONSULTANCY – FINANCIAL PROPOSAL</t>
  </si>
  <si>
    <t xml:space="preserve">Routine Data Quality Audits | Kampala &amp; Wakiso Districts | March – December 2026</t>
  </si>
  <si>
    <t xml:space="preserve">Submitted by: Paul Mubiri &amp; Raymond R. Wayesu | 13 February 2026</t>
  </si>
  <si>
    <t xml:space="preserve">#</t>
  </si>
  <si>
    <t xml:space="preserve">Cost Category / Line Item</t>
  </si>
  <si>
    <t xml:space="preserve">Unit Cost (USD)</t>
  </si>
  <si>
    <t xml:space="preserve">Quantity / Units</t>
  </si>
  <si>
    <t xml:space="preserve">Duration / Months</t>
  </si>
  <si>
    <t xml:space="preserve">Total (USD)</t>
  </si>
  <si>
    <t xml:space="preserve">A</t>
  </si>
  <si>
    <t xml:space="preserve">PROFESSIONAL FEES</t>
  </si>
  <si>
    <t xml:space="preserve">A1</t>
  </si>
  <si>
    <t xml:space="preserve">Lead Consultant / Team Leader (Paul Mubiri)</t>
  </si>
  <si>
    <t xml:space="preserve">A2</t>
  </si>
  <si>
    <t xml:space="preserve">Data Analyst / Biostatistician (Raymond Wayesu)</t>
  </si>
  <si>
    <t xml:space="preserve">A3</t>
  </si>
  <si>
    <t xml:space="preserve">Field Data Quality Auditors (2 persons)</t>
  </si>
  <si>
    <t xml:space="preserve">A4</t>
  </si>
  <si>
    <t xml:space="preserve">Data Entry Support (ad hoc)</t>
  </si>
  <si>
    <t xml:space="preserve">Subtotal A: Professional Fees</t>
  </si>
  <si>
    <t xml:space="preserve">B</t>
  </si>
  <si>
    <t xml:space="preserve">TRANSPORT &amp; LOGISTICS</t>
  </si>
  <si>
    <t xml:space="preserve">B1</t>
  </si>
  <si>
    <t xml:space="preserve">Vehicle hire with driver (field days)</t>
  </si>
  <si>
    <t xml:space="preserve">B2</t>
  </si>
  <si>
    <t xml:space="preserve">Fuel supplement</t>
  </si>
  <si>
    <t xml:space="preserve">B3</t>
  </si>
  <si>
    <t xml:space="preserve">Boda-boda / local transport</t>
  </si>
  <si>
    <t xml:space="preserve">Subtotal B: Transport &amp; Logistics</t>
  </si>
  <si>
    <t xml:space="preserve">C</t>
  </si>
  <si>
    <t xml:space="preserve">DATA COLLECTION &amp; TOOLS</t>
  </si>
  <si>
    <t xml:space="preserve">C1</t>
  </si>
  <si>
    <t xml:space="preserve">KoboToolbox (free humanitarian tier)</t>
  </si>
  <si>
    <t xml:space="preserve">C2</t>
  </si>
  <si>
    <t xml:space="preserve">Printing of backup RDQA forms &amp; checklists</t>
  </si>
  <si>
    <t xml:space="preserve">C3</t>
  </si>
  <si>
    <t xml:space="preserve">Mobile data / internet bundles (field team)</t>
  </si>
  <si>
    <t xml:space="preserve">C4</t>
  </si>
  <si>
    <t xml:space="preserve">Tablet maintenance / charging accessories</t>
  </si>
  <si>
    <t xml:space="preserve">Subtotal C: Data Collection &amp; Tools</t>
  </si>
  <si>
    <t xml:space="preserve">D</t>
  </si>
  <si>
    <t xml:space="preserve">REPORTING &amp; DISSEMINATION</t>
  </si>
  <si>
    <t xml:space="preserve">D1</t>
  </si>
  <si>
    <t xml:space="preserve">Report printing &amp; binding (monthly reports)</t>
  </si>
  <si>
    <t xml:space="preserve">D2</t>
  </si>
  <si>
    <t xml:space="preserve">Quarterly data review session materials</t>
  </si>
  <si>
    <t xml:space="preserve">D3</t>
  </si>
  <si>
    <t xml:space="preserve">Quarterly data review session venue (if needed)</t>
  </si>
  <si>
    <t xml:space="preserve">Subtotal D: Reporting &amp; Dissemination</t>
  </si>
  <si>
    <t xml:space="preserve">E</t>
  </si>
  <si>
    <t xml:space="preserve">INCEPTION &amp; TRAINING (ONE-TIME)</t>
  </si>
  <si>
    <t xml:space="preserve">E1</t>
  </si>
  <si>
    <t xml:space="preserve">Inception meetings with KCCA &amp; Wakiso DHT</t>
  </si>
  <si>
    <t xml:space="preserve">E2</t>
  </si>
  <si>
    <t xml:space="preserve">Field auditor training (2 days, 4 persons)</t>
  </si>
  <si>
    <t xml:space="preserve">E3</t>
  </si>
  <si>
    <t xml:space="preserve">Pilot RDQA at 2–3 facilities</t>
  </si>
  <si>
    <t xml:space="preserve">E4</t>
  </si>
  <si>
    <t xml:space="preserve">KoboToolbox instrument development &amp; testing</t>
  </si>
  <si>
    <t xml:space="preserve">Subtotal E: Inception &amp; Training</t>
  </si>
  <si>
    <t xml:space="preserve">F</t>
  </si>
  <si>
    <t xml:space="preserve">COMMUNICATION &amp; COORDINATION</t>
  </si>
  <si>
    <t xml:space="preserve">F1</t>
  </si>
  <si>
    <t xml:space="preserve">Airtime &amp; communication (team coordination)</t>
  </si>
  <si>
    <t xml:space="preserve">F2</t>
  </si>
  <si>
    <t xml:space="preserve">Coordination with district health teams</t>
  </si>
  <si>
    <t xml:space="preserve">Subtotal F: Communication</t>
  </si>
  <si>
    <t xml:space="preserve">SUBTOTAL (A–F)</t>
  </si>
  <si>
    <t xml:space="preserve">Contingency (7%)</t>
  </si>
  <si>
    <t xml:space="preserve">GRAND TOTAL (USD)</t>
  </si>
  <si>
    <t xml:space="preserve">NOTES &amp; ASSUMPTIONS</t>
  </si>
  <si>
    <t xml:space="preserve">1. All amounts in United States Dollars (USD). Blue-colored values are adjustable inputs.</t>
  </si>
  <si>
    <t xml:space="preserve">2. Lead Consultant: 10 working days/month (3 days prep + 5 days field + 2 days reporting).</t>
  </si>
  <si>
    <t xml:space="preserve">3. Data Analyst: 8 working days/month (2 days prep/DHIS2 + 3 days field + 3 days analysis/reporting).</t>
  </si>
  <si>
    <t xml:space="preserve">4. Field auditors: 2 persons × 10 days/month each at UGX 185,000/day (~USD 50).</t>
  </si>
  <si>
    <t xml:space="preserve">5. Vehicle hire based on 15 field days/month across Kampala and Wakiso Districts.</t>
  </si>
  <si>
    <t xml:space="preserve">6. KoboToolbox humanitarian tier is free (5,000 submissions/month, 1GB storage).</t>
  </si>
  <si>
    <t xml:space="preserve">7. Final costing will be adjusted based on confirmed facility count per month from Tiko.</t>
  </si>
  <si>
    <t xml:space="preserve">8. Contingency at 7% covers unforeseen costs, additional facilities, or extended fieldwork.</t>
  </si>
  <si>
    <t xml:space="preserve">9. Quarterly data review sessions (3 total) include materials and venue if Tiko offices are unavailable.</t>
  </si>
  <si>
    <t xml:space="preserve">MONTHLY COST PROJECTION (USD) — March to December 2026</t>
  </si>
  <si>
    <t xml:space="preserve">Cost Item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</si>
  <si>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</si>
  <si>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</si>
  <si>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</si>
  <si>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</si>
  <si>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</si>
  <si>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</si>
  <si>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</si>
  <si>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</si>
  <si>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</si>
  <si>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</si>
  <si>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</t>
  </si>
  <si>
    <t xml:space="preserve">Lead Consultant (days × rate)</t>
  </si>
  <si>
    <t xml:space="preserve">Data Analyst (days × rate)</t>
  </si>
  <si>
    <t xml:space="preserve">Field Auditors (2 × days × rate)</t>
  </si>
  <si>
    <t xml:space="preserve">Data Entry Support</t>
  </si>
  <si>
    <t xml:space="preserve">Vehicle hire &amp; fuel</t>
  </si>
  <si>
    <t xml:space="preserve">Local transport</t>
  </si>
  <si>
    <t xml:space="preserve">Mobile data / internet</t>
  </si>
  <si>
    <t xml:space="preserve">Printing &amp; materials</t>
  </si>
  <si>
    <t xml:space="preserve">Communication</t>
  </si>
  <si>
    <t xml:space="preserve">Quarterly review session</t>
  </si>
  <si>
    <t xml:space="preserve">MONTHLY TOTAL</t>
  </si>
  <si>
    <t xml:space="preserve">One-time inception costs (March only)</t>
  </si>
  <si>
    <t xml:space="preserve">CUMULATIVE 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</si>
</sst>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\$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4F72"/>
      <name val="Arial"/>
      <family val="0"/>
      <charset val="1"/>
    </font>
    <font>
      <sz val="10"/>
      <color rgb="FF7F8C8D"/>
      <name val="Arial"/>
      <family val="0"/>
      <charset val="1"/>
    </font>
    <font>
      <i val="true"/>
      <sz val="9"/>
      <color rgb="FF95A5A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2C3E50"/>
      <name val="Arial"/>
      <family val="0"/>
      <charset val="1"/>
    </font>
    <font>
      <sz val="10"/>
      <color rgb="FF2C3E50"/>
      <name val="Arial"/>
      <family val="0"/>
      <charset val="1"/>
    </font>
    <font>
      <b val="true"/>
      <sz val="11"/>
      <color rgb="FF1B4F72"/>
      <name val="Arial"/>
      <family val="0"/>
      <charset val="1"/>
    </font>
    <font>
      <b val="true"/>
      <sz val="12"/>
      <color rgb="FF1B4F72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1B4F72"/>
      <name val="Arial"/>
      <family val="0"/>
      <charset val="1"/>
    </font>
    <font>
      <sz val="9"/>
      <color rgb="FF7F8C8D"/>
      <name val="Arial"/>
      <family val="0"/>
      <charset val="1"/>
    </font>
    <font>
      <b val="true"/>
      <sz val="13"/>
      <color rgb="FF1B4F72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4F72"/>
        <bgColor rgb="FF2C3E50"/>
      </patternFill>
    </fill>
    <fill>
      <patternFill patternType="solid">
        <fgColor rgb="FFD6EAF8"/>
        <bgColor rgb="FFEBF5FB"/>
      </patternFill>
    </fill>
    <fill>
      <patternFill patternType="solid">
        <fgColor rgb="FFF2F3F4"/>
        <bgColor rgb="FFEBF5FB"/>
      </patternFill>
    </fill>
    <fill>
      <patternFill patternType="solid">
        <fgColor rgb="FFEBF5FB"/>
        <bgColor rgb="FFF2F3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3F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2E86C1"/>
      <rgbColor rgb="FF33CCCC"/>
      <rgbColor rgb="FF99CC00"/>
      <rgbColor rgb="FFFFCC00"/>
      <rgbColor rgb="FFFF9900"/>
      <rgbColor rgb="FFFF6600"/>
      <rgbColor rgb="FF666699"/>
      <rgbColor rgb="FF95A5A6"/>
      <rgbColor rgb="FF1B4F72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4F72"/>
    <pageSetUpPr fitToPage="false"/>
  </sheetPr>
  <dimension ref="A1:F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5" min="3" style="0" width="18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3" t="s">
        <v>2</v>
      </c>
      <c r="B3" s="3"/>
      <c r="C3" s="3"/>
      <c r="D3" s="3"/>
      <c r="E3" s="3"/>
      <c r="F3" s="3"/>
    </row>
    <row r="5" customFormat="false" ht="26.8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15" hidden="false" customHeight="false" outlineLevel="0" collapsed="false">
      <c r="A6" s="5" t="s">
        <v>9</v>
      </c>
      <c r="B6" s="5" t="s">
        <v>10</v>
      </c>
      <c r="C6" s="5"/>
      <c r="D6" s="5"/>
      <c r="E6" s="5"/>
      <c r="F6" s="5"/>
    </row>
    <row r="7" customFormat="false" ht="15" hidden="false" customHeight="false" outlineLevel="0" collapsed="false">
      <c r="A7" s="6" t="s">
        <v>11</v>
      </c>
      <c r="B7" s="6" t="s">
        <v>12</v>
      </c>
      <c r="C7" s="7" t="n">
        <v>350</v>
      </c>
      <c r="D7" s="6" t="n">
        <v>10</v>
      </c>
      <c r="E7" s="6" t="n">
        <v>10</v>
      </c>
      <c r="F7" s="7" t="n">
        <f aca="false">C7*D7*E7</f>
        <v>35000</v>
      </c>
    </row>
    <row r="8" customFormat="false" ht="23.85" hidden="false" customHeight="false" outlineLevel="0" collapsed="false">
      <c r="A8" s="8" t="s">
        <v>13</v>
      </c>
      <c r="B8" s="8" t="s">
        <v>14</v>
      </c>
      <c r="C8" s="9" t="n">
        <v>300</v>
      </c>
      <c r="D8" s="8" t="n">
        <v>8</v>
      </c>
      <c r="E8" s="8" t="n">
        <v>10</v>
      </c>
      <c r="F8" s="9" t="n">
        <f aca="false">C8*D8*E8</f>
        <v>24000</v>
      </c>
    </row>
    <row r="9" customFormat="false" ht="15" hidden="false" customHeight="false" outlineLevel="0" collapsed="false">
      <c r="A9" s="6" t="s">
        <v>15</v>
      </c>
      <c r="B9" s="6" t="s">
        <v>16</v>
      </c>
      <c r="C9" s="7" t="n">
        <v>50</v>
      </c>
      <c r="D9" s="6" t="n">
        <v>20</v>
      </c>
      <c r="E9" s="6" t="n">
        <v>10</v>
      </c>
      <c r="F9" s="7" t="n">
        <f aca="false">C9*D9*E9</f>
        <v>10000</v>
      </c>
    </row>
    <row r="10" customFormat="false" ht="15" hidden="false" customHeight="false" outlineLevel="0" collapsed="false">
      <c r="A10" s="8" t="s">
        <v>17</v>
      </c>
      <c r="B10" s="8" t="s">
        <v>18</v>
      </c>
      <c r="C10" s="9" t="n">
        <v>30</v>
      </c>
      <c r="D10" s="8" t="n">
        <v>5</v>
      </c>
      <c r="E10" s="8" t="n">
        <v>10</v>
      </c>
      <c r="F10" s="9" t="n">
        <f aca="false">C10*D10*E10</f>
        <v>1500</v>
      </c>
    </row>
    <row r="11" customFormat="false" ht="15" hidden="false" customHeight="false" outlineLevel="0" collapsed="false">
      <c r="A11" s="10"/>
      <c r="B11" s="10" t="s">
        <v>19</v>
      </c>
      <c r="C11" s="10"/>
      <c r="D11" s="10"/>
      <c r="E11" s="10"/>
      <c r="F11" s="11" t="n">
        <f aca="false">SUM(F7:F10)</f>
        <v>70500</v>
      </c>
    </row>
    <row r="12" customFormat="false" ht="15" hidden="false" customHeight="false" outlineLevel="0" collapsed="false">
      <c r="A12" s="5" t="s">
        <v>20</v>
      </c>
      <c r="B12" s="5" t="s">
        <v>21</v>
      </c>
      <c r="C12" s="5"/>
      <c r="D12" s="5"/>
      <c r="E12" s="5"/>
      <c r="F12" s="5"/>
    </row>
    <row r="13" customFormat="false" ht="15" hidden="false" customHeight="false" outlineLevel="0" collapsed="false">
      <c r="A13" s="6" t="s">
        <v>22</v>
      </c>
      <c r="B13" s="6" t="s">
        <v>23</v>
      </c>
      <c r="C13" s="7" t="n">
        <v>80</v>
      </c>
      <c r="D13" s="6" t="n">
        <v>15</v>
      </c>
      <c r="E13" s="6" t="n">
        <v>10</v>
      </c>
      <c r="F13" s="7" t="n">
        <f aca="false">C13*D13*E13</f>
        <v>12000</v>
      </c>
    </row>
    <row r="14" customFormat="false" ht="15" hidden="false" customHeight="false" outlineLevel="0" collapsed="false">
      <c r="A14" s="8" t="s">
        <v>24</v>
      </c>
      <c r="B14" s="8" t="s">
        <v>25</v>
      </c>
      <c r="C14" s="9" t="n">
        <v>20</v>
      </c>
      <c r="D14" s="8" t="n">
        <v>15</v>
      </c>
      <c r="E14" s="8" t="n">
        <v>10</v>
      </c>
      <c r="F14" s="9" t="n">
        <f aca="false">C14*D14*E14</f>
        <v>3000</v>
      </c>
    </row>
    <row r="15" customFormat="false" ht="15" hidden="false" customHeight="false" outlineLevel="0" collapsed="false">
      <c r="A15" s="6" t="s">
        <v>26</v>
      </c>
      <c r="B15" s="6" t="s">
        <v>27</v>
      </c>
      <c r="C15" s="7" t="n">
        <v>10</v>
      </c>
      <c r="D15" s="6" t="n">
        <v>10</v>
      </c>
      <c r="E15" s="6" t="n">
        <v>10</v>
      </c>
      <c r="F15" s="7" t="n">
        <f aca="false">C15*D15*E15</f>
        <v>1000</v>
      </c>
    </row>
    <row r="16" customFormat="false" ht="15" hidden="false" customHeight="false" outlineLevel="0" collapsed="false">
      <c r="A16" s="10"/>
      <c r="B16" s="10" t="s">
        <v>28</v>
      </c>
      <c r="C16" s="10"/>
      <c r="D16" s="10"/>
      <c r="E16" s="10"/>
      <c r="F16" s="11" t="n">
        <f aca="false">SUM(F13:F15)</f>
        <v>16000</v>
      </c>
    </row>
    <row r="17" customFormat="false" ht="15" hidden="false" customHeight="false" outlineLevel="0" collapsed="false">
      <c r="A17" s="5" t="s">
        <v>29</v>
      </c>
      <c r="B17" s="5" t="s">
        <v>30</v>
      </c>
      <c r="C17" s="5"/>
      <c r="D17" s="5"/>
      <c r="E17" s="5"/>
      <c r="F17" s="5"/>
    </row>
    <row r="18" customFormat="false" ht="15" hidden="false" customHeight="false" outlineLevel="0" collapsed="false">
      <c r="A18" s="6" t="s">
        <v>31</v>
      </c>
      <c r="B18" s="6" t="s">
        <v>32</v>
      </c>
      <c r="C18" s="7" t="n">
        <v>0</v>
      </c>
      <c r="D18" s="6" t="n">
        <v>1</v>
      </c>
      <c r="E18" s="6" t="n">
        <v>10</v>
      </c>
      <c r="F18" s="7" t="n">
        <f aca="false">C18*D18*E18</f>
        <v>0</v>
      </c>
    </row>
    <row r="19" customFormat="false" ht="15" hidden="false" customHeight="false" outlineLevel="0" collapsed="false">
      <c r="A19" s="8" t="s">
        <v>33</v>
      </c>
      <c r="B19" s="8" t="s">
        <v>34</v>
      </c>
      <c r="C19" s="9" t="n">
        <v>50</v>
      </c>
      <c r="D19" s="8" t="n">
        <v>1</v>
      </c>
      <c r="E19" s="8" t="n">
        <v>10</v>
      </c>
      <c r="F19" s="9" t="n">
        <f aca="false">C19*D19*E19</f>
        <v>500</v>
      </c>
    </row>
    <row r="20" customFormat="false" ht="15" hidden="false" customHeight="false" outlineLevel="0" collapsed="false">
      <c r="A20" s="6" t="s">
        <v>35</v>
      </c>
      <c r="B20" s="6" t="s">
        <v>36</v>
      </c>
      <c r="C20" s="7" t="n">
        <v>30</v>
      </c>
      <c r="D20" s="6" t="n">
        <v>4</v>
      </c>
      <c r="E20" s="6" t="n">
        <v>10</v>
      </c>
      <c r="F20" s="7" t="n">
        <f aca="false">C20*D20*E20</f>
        <v>1200</v>
      </c>
    </row>
    <row r="21" customFormat="false" ht="15" hidden="false" customHeight="false" outlineLevel="0" collapsed="false">
      <c r="A21" s="8" t="s">
        <v>37</v>
      </c>
      <c r="B21" s="8" t="s">
        <v>38</v>
      </c>
      <c r="C21" s="9" t="n">
        <v>20</v>
      </c>
      <c r="D21" s="8" t="n">
        <v>1</v>
      </c>
      <c r="E21" s="8" t="n">
        <v>10</v>
      </c>
      <c r="F21" s="9" t="n">
        <f aca="false">C21*D21*E21</f>
        <v>200</v>
      </c>
    </row>
    <row r="22" customFormat="false" ht="15" hidden="false" customHeight="false" outlineLevel="0" collapsed="false">
      <c r="A22" s="10"/>
      <c r="B22" s="10" t="s">
        <v>39</v>
      </c>
      <c r="C22" s="10"/>
      <c r="D22" s="10"/>
      <c r="E22" s="10"/>
      <c r="F22" s="11" t="n">
        <f aca="false">SUM(F18:F21)</f>
        <v>1900</v>
      </c>
    </row>
    <row r="23" customFormat="false" ht="15" hidden="false" customHeight="false" outlineLevel="0" collapsed="false">
      <c r="A23" s="5" t="s">
        <v>40</v>
      </c>
      <c r="B23" s="5" t="s">
        <v>41</v>
      </c>
      <c r="C23" s="5"/>
      <c r="D23" s="5"/>
      <c r="E23" s="5"/>
      <c r="F23" s="5"/>
    </row>
    <row r="24" customFormat="false" ht="15" hidden="false" customHeight="false" outlineLevel="0" collapsed="false">
      <c r="A24" s="6" t="s">
        <v>42</v>
      </c>
      <c r="B24" s="6" t="s">
        <v>43</v>
      </c>
      <c r="C24" s="7" t="n">
        <v>30</v>
      </c>
      <c r="D24" s="6" t="n">
        <v>1</v>
      </c>
      <c r="E24" s="6" t="n">
        <v>10</v>
      </c>
      <c r="F24" s="7" t="n">
        <f aca="false">C24*D24*E24</f>
        <v>300</v>
      </c>
    </row>
    <row r="25" customFormat="false" ht="15" hidden="false" customHeight="false" outlineLevel="0" collapsed="false">
      <c r="A25" s="8" t="s">
        <v>44</v>
      </c>
      <c r="B25" s="8" t="s">
        <v>45</v>
      </c>
      <c r="C25" s="9" t="n">
        <v>100</v>
      </c>
      <c r="D25" s="8" t="n">
        <v>1</v>
      </c>
      <c r="E25" s="8" t="n">
        <v>3</v>
      </c>
      <c r="F25" s="9" t="n">
        <f aca="false">C25*D25*E25</f>
        <v>300</v>
      </c>
    </row>
    <row r="26" customFormat="false" ht="23.85" hidden="false" customHeight="false" outlineLevel="0" collapsed="false">
      <c r="A26" s="6" t="s">
        <v>46</v>
      </c>
      <c r="B26" s="6" t="s">
        <v>47</v>
      </c>
      <c r="C26" s="7" t="n">
        <v>150</v>
      </c>
      <c r="D26" s="6" t="n">
        <v>1</v>
      </c>
      <c r="E26" s="6" t="n">
        <v>3</v>
      </c>
      <c r="F26" s="7" t="n">
        <f aca="false">C26*D26*E26</f>
        <v>450</v>
      </c>
    </row>
    <row r="27" customFormat="false" ht="15" hidden="false" customHeight="false" outlineLevel="0" collapsed="false">
      <c r="A27" s="10"/>
      <c r="B27" s="10" t="s">
        <v>48</v>
      </c>
      <c r="C27" s="10"/>
      <c r="D27" s="10"/>
      <c r="E27" s="10"/>
      <c r="F27" s="11" t="n">
        <f aca="false">SUM(F24:F26)</f>
        <v>1050</v>
      </c>
    </row>
    <row r="28" customFormat="false" ht="15" hidden="false" customHeight="false" outlineLevel="0" collapsed="false">
      <c r="A28" s="5" t="s">
        <v>49</v>
      </c>
      <c r="B28" s="5" t="s">
        <v>50</v>
      </c>
      <c r="C28" s="5"/>
      <c r="D28" s="5"/>
      <c r="E28" s="5"/>
      <c r="F28" s="5"/>
    </row>
    <row r="29" customFormat="false" ht="15" hidden="false" customHeight="false" outlineLevel="0" collapsed="false">
      <c r="A29" s="6" t="s">
        <v>51</v>
      </c>
      <c r="B29" s="6" t="s">
        <v>52</v>
      </c>
      <c r="C29" s="7" t="n">
        <v>200</v>
      </c>
      <c r="D29" s="6" t="n">
        <v>1</v>
      </c>
      <c r="E29" s="6" t="n">
        <v>1</v>
      </c>
      <c r="F29" s="7" t="n">
        <f aca="false">C29*D29*E29</f>
        <v>200</v>
      </c>
    </row>
    <row r="30" customFormat="false" ht="15" hidden="false" customHeight="false" outlineLevel="0" collapsed="false">
      <c r="A30" s="8" t="s">
        <v>53</v>
      </c>
      <c r="B30" s="8" t="s">
        <v>54</v>
      </c>
      <c r="C30" s="9" t="n">
        <v>50</v>
      </c>
      <c r="D30" s="8" t="n">
        <v>4</v>
      </c>
      <c r="E30" s="8" t="n">
        <v>2</v>
      </c>
      <c r="F30" s="9" t="n">
        <f aca="false">C30*D30*E30</f>
        <v>400</v>
      </c>
    </row>
    <row r="31" customFormat="false" ht="15" hidden="false" customHeight="false" outlineLevel="0" collapsed="false">
      <c r="A31" s="6" t="s">
        <v>55</v>
      </c>
      <c r="B31" s="6" t="s">
        <v>56</v>
      </c>
      <c r="C31" s="7" t="n">
        <v>150</v>
      </c>
      <c r="D31" s="6" t="n">
        <v>1</v>
      </c>
      <c r="E31" s="6" t="n">
        <v>1</v>
      </c>
      <c r="F31" s="7" t="n">
        <f aca="false">C31*D31*E31</f>
        <v>150</v>
      </c>
    </row>
    <row r="32" customFormat="false" ht="23.85" hidden="false" customHeight="false" outlineLevel="0" collapsed="false">
      <c r="A32" s="8" t="s">
        <v>57</v>
      </c>
      <c r="B32" s="8" t="s">
        <v>58</v>
      </c>
      <c r="C32" s="9" t="n">
        <v>300</v>
      </c>
      <c r="D32" s="8" t="n">
        <v>1</v>
      </c>
      <c r="E32" s="8" t="n">
        <v>1</v>
      </c>
      <c r="F32" s="9" t="n">
        <f aca="false">C32*D32*E32</f>
        <v>300</v>
      </c>
    </row>
    <row r="33" customFormat="false" ht="15" hidden="false" customHeight="false" outlineLevel="0" collapsed="false">
      <c r="A33" s="10"/>
      <c r="B33" s="10" t="s">
        <v>59</v>
      </c>
      <c r="C33" s="10"/>
      <c r="D33" s="10"/>
      <c r="E33" s="10"/>
      <c r="F33" s="11" t="n">
        <f aca="false">SUM(F29:F32)</f>
        <v>1050</v>
      </c>
    </row>
    <row r="34" customFormat="false" ht="15" hidden="false" customHeight="false" outlineLevel="0" collapsed="false">
      <c r="A34" s="5" t="s">
        <v>60</v>
      </c>
      <c r="B34" s="5" t="s">
        <v>61</v>
      </c>
      <c r="C34" s="5"/>
      <c r="D34" s="5"/>
      <c r="E34" s="5"/>
      <c r="F34" s="5"/>
    </row>
    <row r="35" customFormat="false" ht="15" hidden="false" customHeight="false" outlineLevel="0" collapsed="false">
      <c r="A35" s="6" t="s">
        <v>62</v>
      </c>
      <c r="B35" s="6" t="s">
        <v>63</v>
      </c>
      <c r="C35" s="7" t="n">
        <v>25</v>
      </c>
      <c r="D35" s="6" t="n">
        <v>1</v>
      </c>
      <c r="E35" s="6" t="n">
        <v>10</v>
      </c>
      <c r="F35" s="7" t="n">
        <f aca="false">C35*D35*E35</f>
        <v>250</v>
      </c>
    </row>
    <row r="36" customFormat="false" ht="15" hidden="false" customHeight="false" outlineLevel="0" collapsed="false">
      <c r="A36" s="8" t="s">
        <v>64</v>
      </c>
      <c r="B36" s="8" t="s">
        <v>65</v>
      </c>
      <c r="C36" s="9" t="n">
        <v>20</v>
      </c>
      <c r="D36" s="8" t="n">
        <v>1</v>
      </c>
      <c r="E36" s="8" t="n">
        <v>10</v>
      </c>
      <c r="F36" s="9" t="n">
        <f aca="false">C36*D36*E36</f>
        <v>200</v>
      </c>
    </row>
    <row r="37" customFormat="false" ht="15" hidden="false" customHeight="false" outlineLevel="0" collapsed="false">
      <c r="A37" s="10"/>
      <c r="B37" s="10" t="s">
        <v>66</v>
      </c>
      <c r="C37" s="10"/>
      <c r="D37" s="10"/>
      <c r="E37" s="10"/>
      <c r="F37" s="11" t="n">
        <f aca="false">SUM(F35:F36)</f>
        <v>450</v>
      </c>
    </row>
    <row r="39" customFormat="false" ht="15" hidden="false" customHeight="false" outlineLevel="0" collapsed="false">
      <c r="A39" s="12"/>
      <c r="B39" s="12" t="s">
        <v>67</v>
      </c>
      <c r="C39" s="12"/>
      <c r="D39" s="12"/>
      <c r="E39" s="12"/>
      <c r="F39" s="13" t="n">
        <f aca="false">F11+F16+F22+F27+F33+F37</f>
        <v>90950</v>
      </c>
    </row>
    <row r="40" customFormat="false" ht="15" hidden="false" customHeight="false" outlineLevel="0" collapsed="false">
      <c r="A40" s="8"/>
      <c r="B40" s="8" t="s">
        <v>68</v>
      </c>
      <c r="C40" s="14" t="n">
        <v>0.07</v>
      </c>
      <c r="D40" s="8"/>
      <c r="E40" s="8"/>
      <c r="F40" s="9" t="n">
        <f aca="false">F39*C40</f>
        <v>6366.5</v>
      </c>
    </row>
    <row r="42" customFormat="false" ht="17.35" hidden="false" customHeight="true" outlineLevel="0" collapsed="false">
      <c r="A42" s="15"/>
      <c r="B42" s="15" t="s">
        <v>69</v>
      </c>
      <c r="C42" s="15"/>
      <c r="D42" s="15"/>
      <c r="E42" s="15"/>
      <c r="F42" s="16" t="n">
        <f aca="false">F39+F40</f>
        <v>97316.5</v>
      </c>
    </row>
    <row r="44" customFormat="false" ht="15" hidden="false" customHeight="false" outlineLevel="0" collapsed="false">
      <c r="A44" s="17" t="s">
        <v>70</v>
      </c>
      <c r="B44" s="17"/>
      <c r="C44" s="17"/>
      <c r="D44" s="17"/>
      <c r="E44" s="17"/>
      <c r="F44" s="17"/>
    </row>
    <row r="45" customFormat="false" ht="15" hidden="false" customHeight="false" outlineLevel="0" collapsed="false">
      <c r="A45" s="18" t="s">
        <v>71</v>
      </c>
      <c r="B45" s="18"/>
      <c r="C45" s="18"/>
      <c r="D45" s="18"/>
      <c r="E45" s="18"/>
      <c r="F45" s="18"/>
    </row>
    <row r="46" customFormat="false" ht="15" hidden="false" customHeight="false" outlineLevel="0" collapsed="false">
      <c r="A46" s="18" t="s">
        <v>72</v>
      </c>
      <c r="B46" s="18"/>
      <c r="C46" s="18"/>
      <c r="D46" s="18"/>
      <c r="E46" s="18"/>
      <c r="F46" s="18"/>
    </row>
    <row r="47" customFormat="false" ht="15" hidden="false" customHeight="false" outlineLevel="0" collapsed="false">
      <c r="A47" s="18" t="s">
        <v>73</v>
      </c>
      <c r="B47" s="18"/>
      <c r="C47" s="18"/>
      <c r="D47" s="18"/>
      <c r="E47" s="18"/>
      <c r="F47" s="18"/>
    </row>
    <row r="48" customFormat="false" ht="15" hidden="false" customHeight="false" outlineLevel="0" collapsed="false">
      <c r="A48" s="18" t="s">
        <v>74</v>
      </c>
      <c r="B48" s="18"/>
      <c r="C48" s="18"/>
      <c r="D48" s="18"/>
      <c r="E48" s="18"/>
      <c r="F48" s="18"/>
    </row>
    <row r="49" customFormat="false" ht="15" hidden="false" customHeight="false" outlineLevel="0" collapsed="false">
      <c r="A49" s="18" t="s">
        <v>75</v>
      </c>
      <c r="B49" s="18"/>
      <c r="C49" s="18"/>
      <c r="D49" s="18"/>
      <c r="E49" s="18"/>
      <c r="F49" s="18"/>
    </row>
    <row r="50" customFormat="false" ht="15" hidden="false" customHeight="false" outlineLevel="0" collapsed="false">
      <c r="A50" s="18" t="s">
        <v>76</v>
      </c>
      <c r="B50" s="18"/>
      <c r="C50" s="18"/>
      <c r="D50" s="18"/>
      <c r="E50" s="18"/>
      <c r="F50" s="18"/>
    </row>
    <row r="51" customFormat="false" ht="15" hidden="false" customHeight="false" outlineLevel="0" collapsed="false">
      <c r="A51" s="18" t="s">
        <v>77</v>
      </c>
      <c r="B51" s="18"/>
      <c r="C51" s="18"/>
      <c r="D51" s="18"/>
      <c r="E51" s="18"/>
      <c r="F51" s="18"/>
    </row>
    <row r="52" customFormat="false" ht="15" hidden="false" customHeight="false" outlineLevel="0" collapsed="false">
      <c r="A52" s="18" t="s">
        <v>78</v>
      </c>
      <c r="B52" s="18"/>
      <c r="C52" s="18"/>
      <c r="D52" s="18"/>
      <c r="E52" s="18"/>
      <c r="F52" s="18"/>
    </row>
    <row r="53" customFormat="false" ht="15" hidden="false" customHeight="false" outlineLevel="0" collapsed="false">
      <c r="A53" s="18" t="s">
        <v>79</v>
      </c>
      <c r="B53" s="18"/>
      <c r="C53" s="18"/>
      <c r="D53" s="18"/>
      <c r="E53" s="18"/>
      <c r="F53" s="18"/>
    </row>
  </sheetData>
  <mergeCells count="14">
    <mergeCell ref="A1:F1"/>
    <mergeCell ref="A2:F2"/>
    <mergeCell ref="A3:F3"/>
    <mergeCell ref="B42:E42"/>
    <mergeCell ref="A44:F44"/>
    <mergeCell ref="A45:F45"/>
    <mergeCell ref="A46:F46"/>
    <mergeCell ref="A47:F47"/>
    <mergeCell ref="A48:F48"/>
    <mergeCell ref="A49:F49"/>
    <mergeCell ref="A50:F50"/>
    <mergeCell ref="A51:F51"/>
    <mergeCell ref="A52:F52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C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12" min="2" style="0" width="11"/>
  </cols>
  <sheetData>
    <row r="1" customFormat="false" ht="16.15" hidden="false" customHeight="false" outlineLevel="0" collapsed="false">
      <c r="A1" s="19" t="s">
        <v>80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3" customFormat="false" ht="15" hidden="false" customHeight="false" outlineLevel="0" collapsed="false">
      <c r="A3" s="4" t="s">
        <v>81</v>
      </c>
      <c r="B3" s="4" t="s">
        <v>82</v>
      </c>
      <c r="C3" s="4" t="s">
        <v>83</v>
      </c>
      <c r="D3" s="4" t="s">
        <v>84</v>
      </c>
      <c r="E3" s="4" t="s">
        <v>85</v>
      </c>
      <c r="F3" s="4" t="s">
        <v>86</v>
      </c>
      <c r="G3" s="4" t="s">
        <v>87</v>
      </c>
      <c r="H3" s="4" t="s">
        <v>88</v>
      </c>
      <c r="I3" s="4" t="s">
        <v>89</v>
      </c>
      <c r="J3" s="4" t="s">
        <v>90</v>
      </c>
      <c r="K3" s="4" t="s">
        <v>91</v>
      </c>
      <c r="L3" s="4" t="s">
        <v>92</v>
      </c>
    </row>
    <row r="4" customFormat="false" ht="15" hidden="false" customHeight="false" outlineLevel="0" collapsed="false">
      <c r="A4" s="6" t="s">
        <v>93</v>
      </c>
      <c r="B4" s="20" t="n">
        <v>3500</v>
      </c>
      <c r="C4" s="20" t="n">
        <v>3500</v>
      </c>
      <c r="D4" s="20" t="n">
        <v>3500</v>
      </c>
      <c r="E4" s="20" t="n">
        <v>3500</v>
      </c>
      <c r="F4" s="20" t="n">
        <v>3500</v>
      </c>
      <c r="G4" s="20" t="n">
        <v>3500</v>
      </c>
      <c r="H4" s="20" t="n">
        <v>3500</v>
      </c>
      <c r="I4" s="20" t="n">
        <v>3500</v>
      </c>
      <c r="J4" s="20" t="n">
        <v>3500</v>
      </c>
      <c r="K4" s="20" t="n">
        <v>3500</v>
      </c>
      <c r="L4" s="21" t="n">
        <f aca="false">SUM(B4:K4)</f>
        <v>35000</v>
      </c>
    </row>
    <row r="5" customFormat="false" ht="15" hidden="false" customHeight="false" outlineLevel="0" collapsed="false">
      <c r="A5" s="8" t="s">
        <v>94</v>
      </c>
      <c r="B5" s="22" t="n">
        <v>2400</v>
      </c>
      <c r="C5" s="22" t="n">
        <v>2400</v>
      </c>
      <c r="D5" s="22" t="n">
        <v>2400</v>
      </c>
      <c r="E5" s="22" t="n">
        <v>2400</v>
      </c>
      <c r="F5" s="22" t="n">
        <v>2400</v>
      </c>
      <c r="G5" s="22" t="n">
        <v>2400</v>
      </c>
      <c r="H5" s="22" t="n">
        <v>2400</v>
      </c>
      <c r="I5" s="22" t="n">
        <v>2400</v>
      </c>
      <c r="J5" s="22" t="n">
        <v>2400</v>
      </c>
      <c r="K5" s="22" t="n">
        <v>2400</v>
      </c>
      <c r="L5" s="23" t="n">
        <f aca="false">SUM(B5:K5)</f>
        <v>24000</v>
      </c>
    </row>
    <row r="6" customFormat="false" ht="15" hidden="false" customHeight="false" outlineLevel="0" collapsed="false">
      <c r="A6" s="6" t="s">
        <v>95</v>
      </c>
      <c r="B6" s="20" t="n">
        <v>1000</v>
      </c>
      <c r="C6" s="20" t="n">
        <v>1000</v>
      </c>
      <c r="D6" s="20" t="n">
        <v>1000</v>
      </c>
      <c r="E6" s="20" t="n">
        <v>1000</v>
      </c>
      <c r="F6" s="20" t="n">
        <v>1000</v>
      </c>
      <c r="G6" s="20" t="n">
        <v>1000</v>
      </c>
      <c r="H6" s="20" t="n">
        <v>1000</v>
      </c>
      <c r="I6" s="20" t="n">
        <v>1000</v>
      </c>
      <c r="J6" s="20" t="n">
        <v>1000</v>
      </c>
      <c r="K6" s="20" t="n">
        <v>1000</v>
      </c>
      <c r="L6" s="21" t="n">
        <f aca="false">SUM(B6:K6)</f>
        <v>10000</v>
      </c>
    </row>
    <row r="7" customFormat="false" ht="15" hidden="false" customHeight="false" outlineLevel="0" collapsed="false">
      <c r="A7" s="8" t="s">
        <v>96</v>
      </c>
      <c r="B7" s="22" t="n">
        <v>150</v>
      </c>
      <c r="C7" s="22" t="n">
        <v>150</v>
      </c>
      <c r="D7" s="22" t="n">
        <v>150</v>
      </c>
      <c r="E7" s="22" t="n">
        <v>150</v>
      </c>
      <c r="F7" s="22" t="n">
        <v>150</v>
      </c>
      <c r="G7" s="22" t="n">
        <v>150</v>
      </c>
      <c r="H7" s="22" t="n">
        <v>150</v>
      </c>
      <c r="I7" s="22" t="n">
        <v>150</v>
      </c>
      <c r="J7" s="22" t="n">
        <v>150</v>
      </c>
      <c r="K7" s="22" t="n">
        <v>150</v>
      </c>
      <c r="L7" s="23" t="n">
        <f aca="false">SUM(B7:K7)</f>
        <v>1500</v>
      </c>
    </row>
    <row r="8" customFormat="false" ht="15" hidden="false" customHeight="false" outlineLevel="0" collapsed="false">
      <c r="A8" s="6" t="s">
        <v>97</v>
      </c>
      <c r="B8" s="20" t="n">
        <v>1500</v>
      </c>
      <c r="C8" s="20" t="n">
        <v>1500</v>
      </c>
      <c r="D8" s="20" t="n">
        <v>1500</v>
      </c>
      <c r="E8" s="20" t="n">
        <v>1500</v>
      </c>
      <c r="F8" s="20" t="n">
        <v>1500</v>
      </c>
      <c r="G8" s="20" t="n">
        <v>1500</v>
      </c>
      <c r="H8" s="20" t="n">
        <v>1500</v>
      </c>
      <c r="I8" s="20" t="n">
        <v>1500</v>
      </c>
      <c r="J8" s="20" t="n">
        <v>1500</v>
      </c>
      <c r="K8" s="20" t="n">
        <v>1500</v>
      </c>
      <c r="L8" s="21" t="n">
        <f aca="false">SUM(B8:K8)</f>
        <v>15000</v>
      </c>
    </row>
    <row r="9" customFormat="false" ht="15" hidden="false" customHeight="false" outlineLevel="0" collapsed="false">
      <c r="A9" s="8" t="s">
        <v>98</v>
      </c>
      <c r="B9" s="22" t="n">
        <v>100</v>
      </c>
      <c r="C9" s="22" t="n">
        <v>100</v>
      </c>
      <c r="D9" s="22" t="n">
        <v>100</v>
      </c>
      <c r="E9" s="22" t="n">
        <v>100</v>
      </c>
      <c r="F9" s="22" t="n">
        <v>100</v>
      </c>
      <c r="G9" s="22" t="n">
        <v>100</v>
      </c>
      <c r="H9" s="22" t="n">
        <v>100</v>
      </c>
      <c r="I9" s="22" t="n">
        <v>100</v>
      </c>
      <c r="J9" s="22" t="n">
        <v>100</v>
      </c>
      <c r="K9" s="22" t="n">
        <v>100</v>
      </c>
      <c r="L9" s="23" t="n">
        <f aca="false">SUM(B9:K9)</f>
        <v>1000</v>
      </c>
    </row>
    <row r="10" customFormat="false" ht="15" hidden="false" customHeight="false" outlineLevel="0" collapsed="false">
      <c r="A10" s="6" t="s">
        <v>99</v>
      </c>
      <c r="B10" s="20" t="n">
        <v>120</v>
      </c>
      <c r="C10" s="20" t="n">
        <v>120</v>
      </c>
      <c r="D10" s="20" t="n">
        <v>120</v>
      </c>
      <c r="E10" s="20" t="n">
        <v>120</v>
      </c>
      <c r="F10" s="20" t="n">
        <v>120</v>
      </c>
      <c r="G10" s="20" t="n">
        <v>120</v>
      </c>
      <c r="H10" s="20" t="n">
        <v>120</v>
      </c>
      <c r="I10" s="20" t="n">
        <v>120</v>
      </c>
      <c r="J10" s="20" t="n">
        <v>120</v>
      </c>
      <c r="K10" s="20" t="n">
        <v>120</v>
      </c>
      <c r="L10" s="21" t="n">
        <f aca="false">SUM(B10:K10)</f>
        <v>1200</v>
      </c>
    </row>
    <row r="11" customFormat="false" ht="15" hidden="false" customHeight="false" outlineLevel="0" collapsed="false">
      <c r="A11" s="8" t="s">
        <v>100</v>
      </c>
      <c r="B11" s="22" t="n">
        <v>80</v>
      </c>
      <c r="C11" s="22" t="n">
        <v>80</v>
      </c>
      <c r="D11" s="22" t="n">
        <v>80</v>
      </c>
      <c r="E11" s="22" t="n">
        <v>80</v>
      </c>
      <c r="F11" s="22" t="n">
        <v>80</v>
      </c>
      <c r="G11" s="22" t="n">
        <v>80</v>
      </c>
      <c r="H11" s="22" t="n">
        <v>80</v>
      </c>
      <c r="I11" s="22" t="n">
        <v>80</v>
      </c>
      <c r="J11" s="22" t="n">
        <v>80</v>
      </c>
      <c r="K11" s="22" t="n">
        <v>80</v>
      </c>
      <c r="L11" s="23" t="n">
        <f aca="false">SUM(B11:K11)</f>
        <v>800</v>
      </c>
    </row>
    <row r="12" customFormat="false" ht="15" hidden="false" customHeight="false" outlineLevel="0" collapsed="false">
      <c r="A12" s="6" t="s">
        <v>101</v>
      </c>
      <c r="B12" s="20" t="n">
        <v>45</v>
      </c>
      <c r="C12" s="20" t="n">
        <v>45</v>
      </c>
      <c r="D12" s="20" t="n">
        <v>45</v>
      </c>
      <c r="E12" s="20" t="n">
        <v>45</v>
      </c>
      <c r="F12" s="20" t="n">
        <v>45</v>
      </c>
      <c r="G12" s="20" t="n">
        <v>45</v>
      </c>
      <c r="H12" s="20" t="n">
        <v>45</v>
      </c>
      <c r="I12" s="20" t="n">
        <v>45</v>
      </c>
      <c r="J12" s="20" t="n">
        <v>45</v>
      </c>
      <c r="K12" s="20" t="n">
        <v>45</v>
      </c>
      <c r="L12" s="21" t="n">
        <f aca="false">SUM(B12:K12)</f>
        <v>450</v>
      </c>
    </row>
    <row r="13" customFormat="false" ht="15" hidden="false" customHeight="false" outlineLevel="0" collapsed="false">
      <c r="A13" s="8" t="s">
        <v>102</v>
      </c>
      <c r="B13" s="22" t="n">
        <v>0</v>
      </c>
      <c r="C13" s="22" t="n">
        <v>0</v>
      </c>
      <c r="D13" s="22" t="n">
        <v>0</v>
      </c>
      <c r="E13" s="22" t="n">
        <v>350</v>
      </c>
      <c r="F13" s="22" t="n">
        <v>0</v>
      </c>
      <c r="G13" s="22" t="n">
        <v>0</v>
      </c>
      <c r="H13" s="22" t="n">
        <v>350</v>
      </c>
      <c r="I13" s="22" t="n">
        <v>0</v>
      </c>
      <c r="J13" s="22" t="n">
        <v>0</v>
      </c>
      <c r="K13" s="22" t="n">
        <v>350</v>
      </c>
      <c r="L13" s="23" t="n">
        <f aca="false">SUM(B13:K13)</f>
        <v>1050</v>
      </c>
    </row>
    <row r="14" customFormat="false" ht="15" hidden="false" customHeight="false" outlineLevel="0" collapsed="false">
      <c r="A14" s="24" t="s">
        <v>103</v>
      </c>
      <c r="B14" s="25" t="n">
        <f aca="false">SUM(B4:B13)</f>
        <v>8895</v>
      </c>
      <c r="C14" s="25" t="n">
        <f aca="false">SUM(C4:C13)</f>
        <v>8895</v>
      </c>
      <c r="D14" s="25" t="n">
        <f aca="false">SUM(D4:D13)</f>
        <v>8895</v>
      </c>
      <c r="E14" s="25" t="n">
        <f aca="false">SUM(E4:E13)</f>
        <v>9245</v>
      </c>
      <c r="F14" s="25" t="n">
        <f aca="false">SUM(F4:F13)</f>
        <v>8895</v>
      </c>
      <c r="G14" s="25" t="n">
        <f aca="false">SUM(G4:G13)</f>
        <v>8895</v>
      </c>
      <c r="H14" s="25" t="n">
        <f aca="false">SUM(H4:H13)</f>
        <v>9245</v>
      </c>
      <c r="I14" s="25" t="n">
        <f aca="false">SUM(I4:I13)</f>
        <v>8895</v>
      </c>
      <c r="J14" s="25" t="n">
        <f aca="false">SUM(J4:J13)</f>
        <v>8895</v>
      </c>
      <c r="K14" s="25" t="n">
        <f aca="false">SUM(K4:K13)</f>
        <v>9245</v>
      </c>
      <c r="L14" s="25" t="n">
        <f aca="false">SUM(L4:L13)</f>
        <v>90000</v>
      </c>
    </row>
    <row r="15" customFormat="false" ht="15" hidden="false" customHeight="false" outlineLevel="0" collapsed="false">
      <c r="A15" s="26" t="s">
        <v>104</v>
      </c>
      <c r="B15" s="22" t="n">
        <v>1050</v>
      </c>
      <c r="L15" s="27" t="n">
        <f aca="false">SUM(B15:K15)</f>
        <v>1050</v>
      </c>
    </row>
    <row r="16" customFormat="false" ht="15" hidden="false" customHeight="false" outlineLevel="0" collapsed="false">
      <c r="A16" s="4" t="s">
        <v>105</v>
      </c>
      <c r="B16" s="28" t="n">
        <f aca="false">B14+B15</f>
        <v>9945</v>
      </c>
      <c r="C16" s="28" t="n">
        <f aca="false">C14+C15</f>
        <v>8895</v>
      </c>
      <c r="D16" s="28" t="n">
        <f aca="false">D14+D15</f>
        <v>8895</v>
      </c>
      <c r="E16" s="28" t="n">
        <f aca="false">E14+E15</f>
        <v>9245</v>
      </c>
      <c r="F16" s="28" t="n">
        <f aca="false">F14+F15</f>
        <v>8895</v>
      </c>
      <c r="G16" s="28" t="n">
        <f aca="false">G14+G15</f>
        <v>8895</v>
      </c>
      <c r="H16" s="28" t="n">
        <f aca="false">H14+H15</f>
        <v>9245</v>
      </c>
      <c r="I16" s="28" t="n">
        <f aca="false">I14+I15</f>
        <v>8895</v>
      </c>
      <c r="J16" s="28" t="n">
        <f aca="false">J14+J15</f>
        <v>8895</v>
      </c>
      <c r="K16" s="28" t="n">
        <f aca="false">K14+K15</f>
        <v>9245</v>
      </c>
      <c r="L16" s="28" t="n">
        <f aca="false">L14+L15</f>
        <v>91050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2026-02-11T06:15:26Z</dcterms:created>
  <dc:creator>openpyxl</dc:creator>
  <dc:description/>
  <dc:language>en-US</dc:language>
  <cp:lastModifiedBy/>
  <dcterms:modified xsi:type="dcterms:W3CDTF">2026-02-11T06:15:26Z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