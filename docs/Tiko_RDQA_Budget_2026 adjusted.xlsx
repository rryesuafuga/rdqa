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Tiko\"/>
    </mc:Choice>
  </mc:AlternateContent>
  <xr:revisionPtr revIDLastSave="0" documentId="13_ncr:1_{986FE264-16B5-4629-9258-8D7167A82285}" xr6:coauthVersionLast="36" xr6:coauthVersionMax="36" xr10:uidLastSave="{00000000-0000-0000-0000-000000000000}"/>
  <bookViews>
    <workbookView xWindow="0" yWindow="0" windowWidth="19200" windowHeight="8010" tabRatio="500" xr2:uid="{00000000-000D-0000-FFFF-FFFF00000000}"/>
  </bookViews>
  <sheets>
    <sheet name="Budget Summary" sheetId="1" r:id="rId1"/>
  </sheets>
  <definedNames>
    <definedName name="_xlnm.Print_Area" localSheetId="0">'Budget Summary'!$A$1:$F$25</definedName>
  </definedNames>
  <calcPr calcId="191029" iterateDelta="1E-4"/>
</workbook>
</file>

<file path=xl/calcChain.xml><?xml version="1.0" encoding="utf-8"?>
<calcChain xmlns="http://schemas.openxmlformats.org/spreadsheetml/2006/main">
  <c r="F20" i="1" l="1"/>
  <c r="F19" i="1"/>
  <c r="F21" i="1" s="1"/>
  <c r="F16" i="1"/>
  <c r="F15" i="1"/>
  <c r="F14" i="1"/>
  <c r="F11" i="1"/>
  <c r="F10" i="1"/>
  <c r="F7" i="1"/>
  <c r="F6" i="1"/>
  <c r="F8" i="1" l="1"/>
  <c r="F12" i="1"/>
  <c r="F17" i="1"/>
  <c r="F23" i="1" l="1"/>
  <c r="F25" i="1" s="1"/>
</calcChain>
</file>

<file path=xl/sharedStrings.xml><?xml version="1.0" encoding="utf-8"?>
<sst xmlns="http://schemas.openxmlformats.org/spreadsheetml/2006/main" count="40" uniqueCount="40">
  <si>
    <t>TIKO RDQA CONSULTANCY – FINANCIAL PROPOSAL</t>
  </si>
  <si>
    <t>Routine Data Quality Audits | Kampala &amp; Wakiso Districts | March – December 2026</t>
  </si>
  <si>
    <t>#</t>
  </si>
  <si>
    <t>Cost Category / Line Item</t>
  </si>
  <si>
    <t>Unit Cost (USD)</t>
  </si>
  <si>
    <t>Duration / Months</t>
  </si>
  <si>
    <t>Total (USD)</t>
  </si>
  <si>
    <t>A</t>
  </si>
  <si>
    <t>PROFESSIONAL FEES</t>
  </si>
  <si>
    <t>A1</t>
  </si>
  <si>
    <t>Lead Consultant / Team Leader (Paul Mubiri)</t>
  </si>
  <si>
    <t>A2</t>
  </si>
  <si>
    <t>Data Analyst / Biostatistician (Raymond Wayesu)</t>
  </si>
  <si>
    <t>Subtotal A: Professional Fees</t>
  </si>
  <si>
    <t>B</t>
  </si>
  <si>
    <t>TRANSPORT &amp; LOGISTICS</t>
  </si>
  <si>
    <t>B1</t>
  </si>
  <si>
    <t>Vehicle hire with driver (field days)</t>
  </si>
  <si>
    <t>B2</t>
  </si>
  <si>
    <t>Subtotal B: Transport &amp; Logistics</t>
  </si>
  <si>
    <t>C</t>
  </si>
  <si>
    <t>DATA COLLECTION &amp; TOOLS</t>
  </si>
  <si>
    <t>C1</t>
  </si>
  <si>
    <t>C2</t>
  </si>
  <si>
    <t>C3</t>
  </si>
  <si>
    <t>Mobile data / internet bundles (field team)</t>
  </si>
  <si>
    <t>Subtotal C: Data Collection &amp; Tools</t>
  </si>
  <si>
    <t>D</t>
  </si>
  <si>
    <t>D1</t>
  </si>
  <si>
    <t>D2</t>
  </si>
  <si>
    <t>COMMUNICATION &amp; COORDINATION</t>
  </si>
  <si>
    <t>Airtime &amp; communication (team coordination)</t>
  </si>
  <si>
    <t>GRAND TOTAL (USD)</t>
  </si>
  <si>
    <t>Days/Units</t>
  </si>
  <si>
    <t>Fuel</t>
  </si>
  <si>
    <t>KoboToolbox</t>
  </si>
  <si>
    <t>Printing RDQA forms &amp; checklists</t>
  </si>
  <si>
    <t>Others</t>
  </si>
  <si>
    <t>Subtotal D: Communication</t>
  </si>
  <si>
    <t>SUBTOTAL (A–D)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</si>
</sst>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\$#,##0"/>
  </numFmts>
  <fonts count="14" x14ac:knownFonts="1">
    <font>
      <sz val="11"/>
      <color theme="1"/>
      <name val="Calibri"/>
      <family val="2"/>
      <charset val="1"/>
    </font>
    <font>
      <b/>
      <sz val="14"/>
      <color rgb="FF1B4F72"/>
      <name val="Arial"/>
      <charset val="1"/>
    </font>
    <font>
      <b/>
      <sz val="11"/>
      <color rgb="FFFFFFFF"/>
      <name val="Arial"/>
      <charset val="1"/>
    </font>
    <font>
      <b/>
      <sz val="10"/>
      <color rgb="FF2C3E50"/>
      <name val="Arial"/>
      <charset val="1"/>
    </font>
    <font>
      <sz val="10"/>
      <color rgb="FF2C3E50"/>
      <name val="Arial"/>
      <charset val="1"/>
    </font>
    <font>
      <b/>
      <sz val="11"/>
      <color rgb="FF1B4F72"/>
      <name val="Arial"/>
      <charset val="1"/>
    </font>
    <font>
      <b/>
      <sz val="12"/>
      <color rgb="FF1B4F72"/>
      <name val="Arial"/>
      <charset val="1"/>
    </font>
    <font>
      <b/>
      <sz val="14"/>
      <color rgb="FFFFFFFF"/>
      <name val="Arial"/>
      <charset val="1"/>
    </font>
    <font>
      <b/>
      <sz val="11"/>
      <color theme="1"/>
      <name val="Calibri"/>
      <family val="2"/>
      <charset val="1"/>
    </font>
    <font>
      <b/>
      <sz val="10"/>
      <color theme="1"/>
      <name val="Arial"/>
      <family val="2"/>
    </font>
    <font>
      <b/>
      <sz val="10"/>
      <color rgb="FF2C3E50"/>
      <name val="Arial"/>
      <family val="2"/>
    </font>
    <font>
      <sz val="10"/>
      <color rgb="FF2C3E50"/>
      <name val="Arial"/>
      <family val="2"/>
    </font>
    <font>
      <b/>
      <sz val="11"/>
      <color rgb="FF1B4F72"/>
      <name val="Arial"/>
      <family val="2"/>
    </font>
    <font>
      <b/>
      <sz val="12"/>
      <color rgb="FF1B4F7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B4F72"/>
        <bgColor rgb="FF2C3E50"/>
      </patternFill>
    </fill>
    <fill>
      <patternFill patternType="solid">
        <fgColor rgb="FFD6EAF8"/>
        <bgColor rgb="FFEBF5FB"/>
      </patternFill>
    </fill>
    <fill>
      <patternFill patternType="solid">
        <fgColor rgb="FFF2F3F4"/>
        <bgColor rgb="FFEBF5FB"/>
      </patternFill>
    </fill>
    <fill>
      <patternFill patternType="solid">
        <fgColor rgb="FFEBF5FB"/>
        <bgColor rgb="FFF2F3F4"/>
      </patternFill>
    </fill>
  </fills>
  <borders count="4">
    <border>
      <left/>
      <right/>
      <top/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>
      <left/>
      <right/>
      <top style="thin">
        <color rgb="FFD5D8DC"/>
      </top>
      <bottom style="thin">
        <color rgb="FFD5D8DC"/>
      </bottom>
      <diagonal/>
    </border>
    <border>
      <left/>
      <right style="thin">
        <color rgb="FFD5D8DC"/>
      </right>
      <top style="thin">
        <color rgb="FFD5D8DC"/>
      </top>
      <bottom style="thin">
        <color rgb="FFD5D8DC"/>
      </bottom>
      <diagonal/>
    </border>
  </borders>
  <cellStyleXfs count="1">
    <xf numFmtId="0" fontId="0" fillId="0" borderId="0"/>
  </cellStyleXfs>
  <cellXfs count="26">
    <xf numFmtId="0" fontId="0" fillId="0" borderId="0" xfId="0" applyAlignment="1"/>
    <xf numFmtId="0" fontId="0" fillId="0" borderId="0" xfId="0" applyAlignment="1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/>
    <xf numFmtId="0" fontId="4" fillId="4" borderId="1" xfId="0" applyFont="1" applyFill="1" applyBorder="1" applyAlignment="1">
      <alignment horizontal="left" vertical="center" wrapText="1"/>
    </xf>
    <xf numFmtId="3" fontId="4" fillId="4" borderId="1" xfId="0" applyNumberFormat="1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3" fontId="4" fillId="0" borderId="1" xfId="0" applyNumberFormat="1" applyFont="1" applyBorder="1" applyAlignment="1">
      <alignment horizontal="left" vertical="center" wrapText="1"/>
    </xf>
    <xf numFmtId="0" fontId="5" fillId="5" borderId="1" xfId="0" applyFont="1" applyFill="1" applyBorder="1" applyAlignment="1"/>
    <xf numFmtId="3" fontId="5" fillId="5" borderId="1" xfId="0" applyNumberFormat="1" applyFont="1" applyFill="1" applyBorder="1" applyAlignment="1"/>
    <xf numFmtId="0" fontId="6" fillId="5" borderId="1" xfId="0" applyFont="1" applyFill="1" applyBorder="1" applyAlignment="1"/>
    <xf numFmtId="3" fontId="6" fillId="5" borderId="1" xfId="0" applyNumberFormat="1" applyFont="1" applyFill="1" applyBorder="1" applyAlignment="1"/>
    <xf numFmtId="0" fontId="7" fillId="2" borderId="1" xfId="0" applyFont="1" applyFill="1" applyBorder="1" applyAlignment="1">
      <alignment horizontal="center" vertical="center" wrapText="1"/>
    </xf>
    <xf numFmtId="165" fontId="7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0" fontId="1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8" fillId="0" borderId="0" xfId="0" applyFont="1" applyAlignment="1"/>
    <xf numFmtId="0" fontId="9" fillId="0" borderId="0" xfId="0" applyFont="1" applyAlignment="1">
      <alignment horizontal="center"/>
    </xf>
    <xf numFmtId="0" fontId="10" fillId="3" borderId="1" xfId="0" applyFont="1" applyFill="1" applyBorder="1" applyAlignment="1"/>
    <xf numFmtId="0" fontId="11" fillId="4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2" fillId="5" borderId="1" xfId="0" applyFont="1" applyFill="1" applyBorder="1" applyAlignment="1"/>
    <xf numFmtId="0" fontId="13" fillId="5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8C8D"/>
      <rgbColor rgb="FF9999FF"/>
      <rgbColor rgb="FF993366"/>
      <rgbColor rgb="FFF2F3F4"/>
      <rgbColor rgb="FFD6EAF8"/>
      <rgbColor rgb="FF660066"/>
      <rgbColor rgb="FFFF8080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CCFFCC"/>
      <rgbColor rgb="FFFFFF99"/>
      <rgbColor rgb="FF99CCFF"/>
      <rgbColor rgb="FFFF99CC"/>
      <rgbColor rgb="FFCC99FF"/>
      <rgbColor rgb="FFFFCC99"/>
      <rgbColor rgb="FF2E86C1"/>
      <rgbColor rgb="FF33CCCC"/>
      <rgbColor rgb="FF99CC00"/>
      <rgbColor rgb="FFFFCC00"/>
      <rgbColor rgb="FFFF9900"/>
      <rgbColor rgb="FFFF6600"/>
      <rgbColor rgb="FF666699"/>
      <rgbColor rgb="FF95A5A6"/>
      <rgbColor rgb="FF1B4F72"/>
      <rgbColor rgb="FF339966"/>
      <rgbColor rgb="FF003300"/>
      <rgbColor rgb="FF333300"/>
      <rgbColor rgb="FF993300"/>
      <rgbColor rgb="FF993366"/>
      <rgbColor rgb="FF333399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4F72"/>
  </sheetPr>
  <dimension ref="A1:F25"/>
  <sheetViews>
    <sheetView tabSelected="1" zoomScale="85" zoomScaleNormal="85" workbookViewId="0">
      <selection activeCell="M16" sqref="M16"/>
    </sheetView>
  </sheetViews>
  <sheetFormatPr defaultColWidth="8.6328125" defaultRowHeight="14.5" x14ac:dyDescent="0.35"/>
  <cols>
    <col min="1" max="1" width="5" style="1" customWidth="1"/>
    <col min="2" max="2" width="38" style="1" customWidth="1"/>
    <col min="3" max="5" width="18" style="1" customWidth="1"/>
    <col min="6" max="6" width="22" style="1" customWidth="1"/>
  </cols>
  <sheetData>
    <row r="1" spans="1:6" ht="17.399999999999999" customHeight="1" x14ac:dyDescent="0.35">
      <c r="A1" s="15" t="s">
        <v>0</v>
      </c>
      <c r="B1" s="14"/>
      <c r="C1" s="14"/>
      <c r="D1" s="14"/>
      <c r="E1" s="14"/>
      <c r="F1" s="14"/>
    </row>
    <row r="2" spans="1:6" ht="15" customHeight="1" x14ac:dyDescent="0.35">
      <c r="A2" s="20" t="s">
        <v>1</v>
      </c>
      <c r="B2" s="19"/>
      <c r="C2" s="19"/>
      <c r="D2" s="19"/>
      <c r="E2" s="19"/>
      <c r="F2" s="19"/>
    </row>
    <row r="4" spans="1:6" ht="26.9" customHeight="1" x14ac:dyDescent="0.35">
      <c r="A4" s="2" t="s">
        <v>2</v>
      </c>
      <c r="B4" s="2" t="s">
        <v>3</v>
      </c>
      <c r="C4" s="2" t="s">
        <v>4</v>
      </c>
      <c r="D4" s="2" t="s">
        <v>33</v>
      </c>
      <c r="E4" s="2" t="s">
        <v>5</v>
      </c>
      <c r="F4" s="2" t="s">
        <v>6</v>
      </c>
    </row>
    <row r="5" spans="1:6" ht="15" customHeight="1" x14ac:dyDescent="0.35">
      <c r="A5" s="3" t="s">
        <v>7</v>
      </c>
      <c r="B5" s="3" t="s">
        <v>8</v>
      </c>
      <c r="C5" s="3"/>
      <c r="D5" s="3"/>
      <c r="E5" s="3"/>
      <c r="F5" s="3"/>
    </row>
    <row r="6" spans="1:6" ht="15" customHeight="1" x14ac:dyDescent="0.35">
      <c r="A6" s="4" t="s">
        <v>9</v>
      </c>
      <c r="B6" s="4" t="s">
        <v>10</v>
      </c>
      <c r="C6" s="5">
        <v>120</v>
      </c>
      <c r="D6" s="4">
        <v>5</v>
      </c>
      <c r="E6" s="4">
        <v>10</v>
      </c>
      <c r="F6" s="5">
        <f>C6*D6*E6</f>
        <v>6000</v>
      </c>
    </row>
    <row r="7" spans="1:6" ht="23.9" customHeight="1" x14ac:dyDescent="0.35">
      <c r="A7" s="6" t="s">
        <v>11</v>
      </c>
      <c r="B7" s="6" t="s">
        <v>12</v>
      </c>
      <c r="C7" s="7">
        <v>100</v>
      </c>
      <c r="D7" s="6">
        <v>5</v>
      </c>
      <c r="E7" s="6">
        <v>10</v>
      </c>
      <c r="F7" s="7">
        <f>C7*D7*E7</f>
        <v>5000</v>
      </c>
    </row>
    <row r="8" spans="1:6" ht="15" customHeight="1" x14ac:dyDescent="0.35">
      <c r="A8" s="8"/>
      <c r="B8" s="8" t="s">
        <v>13</v>
      </c>
      <c r="C8" s="8"/>
      <c r="D8" s="8"/>
      <c r="E8" s="8"/>
      <c r="F8" s="9">
        <f>SUM(F6:F7)</f>
        <v>11000</v>
      </c>
    </row>
    <row r="9" spans="1:6" ht="15" customHeight="1" x14ac:dyDescent="0.35">
      <c r="A9" s="3" t="s">
        <v>14</v>
      </c>
      <c r="B9" s="3" t="s">
        <v>15</v>
      </c>
      <c r="C9" s="3"/>
      <c r="D9" s="3"/>
      <c r="E9" s="3"/>
      <c r="F9" s="3"/>
    </row>
    <row r="10" spans="1:6" ht="15" customHeight="1" x14ac:dyDescent="0.35">
      <c r="A10" s="4" t="s">
        <v>16</v>
      </c>
      <c r="B10" s="4" t="s">
        <v>17</v>
      </c>
      <c r="C10" s="5">
        <v>0</v>
      </c>
      <c r="D10" s="4">
        <v>5</v>
      </c>
      <c r="E10" s="4">
        <v>10</v>
      </c>
      <c r="F10" s="5">
        <f>C10*D10*E10</f>
        <v>0</v>
      </c>
    </row>
    <row r="11" spans="1:6" ht="15" customHeight="1" x14ac:dyDescent="0.35">
      <c r="A11" s="6" t="s">
        <v>18</v>
      </c>
      <c r="B11" s="6" t="s">
        <v>34</v>
      </c>
      <c r="C11" s="7">
        <v>0</v>
      </c>
      <c r="D11" s="6">
        <v>5</v>
      </c>
      <c r="E11" s="6">
        <v>10</v>
      </c>
      <c r="F11" s="7">
        <f>C11*D11*E11</f>
        <v>0</v>
      </c>
    </row>
    <row r="12" spans="1:6" ht="15" customHeight="1" x14ac:dyDescent="0.35">
      <c r="A12" s="8"/>
      <c r="B12" s="8" t="s">
        <v>19</v>
      </c>
      <c r="C12" s="8"/>
      <c r="D12" s="8"/>
      <c r="E12" s="8"/>
      <c r="F12" s="9">
        <f>SUM(F10:F11)</f>
        <v>0</v>
      </c>
    </row>
    <row r="13" spans="1:6" ht="15" customHeight="1" x14ac:dyDescent="0.35">
      <c r="A13" s="3" t="s">
        <v>20</v>
      </c>
      <c r="B13" s="3" t="s">
        <v>21</v>
      </c>
      <c r="C13" s="3"/>
      <c r="D13" s="3"/>
      <c r="E13" s="3"/>
      <c r="F13" s="3"/>
    </row>
    <row r="14" spans="1:6" ht="15" customHeight="1" x14ac:dyDescent="0.35">
      <c r="A14" s="4" t="s">
        <v>22</v>
      </c>
      <c r="B14" s="4" t="s">
        <v>35</v>
      </c>
      <c r="C14" s="5">
        <v>100</v>
      </c>
      <c r="D14" s="4">
        <v>1</v>
      </c>
      <c r="E14" s="4">
        <v>1</v>
      </c>
      <c r="F14" s="5">
        <f>C14*D14*E14</f>
        <v>100</v>
      </c>
    </row>
    <row r="15" spans="1:6" ht="15" customHeight="1" x14ac:dyDescent="0.35">
      <c r="A15" s="6" t="s">
        <v>23</v>
      </c>
      <c r="B15" s="6" t="s">
        <v>36</v>
      </c>
      <c r="C15" s="7">
        <v>20</v>
      </c>
      <c r="D15" s="6">
        <v>1</v>
      </c>
      <c r="E15" s="6">
        <v>10</v>
      </c>
      <c r="F15" s="7">
        <f>C15*D15*E15</f>
        <v>200</v>
      </c>
    </row>
    <row r="16" spans="1:6" ht="15" customHeight="1" x14ac:dyDescent="0.35">
      <c r="A16" s="4" t="s">
        <v>24</v>
      </c>
      <c r="B16" s="4" t="s">
        <v>25</v>
      </c>
      <c r="C16" s="5">
        <v>10</v>
      </c>
      <c r="D16" s="4">
        <v>1</v>
      </c>
      <c r="E16" s="4">
        <v>10</v>
      </c>
      <c r="F16" s="5">
        <f>C16*D16*E16</f>
        <v>100</v>
      </c>
    </row>
    <row r="17" spans="1:6" ht="15" customHeight="1" x14ac:dyDescent="0.35">
      <c r="A17" s="8"/>
      <c r="B17" s="8" t="s">
        <v>26</v>
      </c>
      <c r="C17" s="8"/>
      <c r="D17" s="8"/>
      <c r="E17" s="8"/>
      <c r="F17" s="9">
        <f>SUM(F14:F16)</f>
        <v>400</v>
      </c>
    </row>
    <row r="18" spans="1:6" ht="15" customHeight="1" x14ac:dyDescent="0.35">
      <c r="A18" s="21" t="s">
        <v>27</v>
      </c>
      <c r="B18" s="3" t="s">
        <v>30</v>
      </c>
      <c r="C18" s="3"/>
      <c r="D18" s="3"/>
      <c r="E18" s="3"/>
      <c r="F18" s="3"/>
    </row>
    <row r="19" spans="1:6" ht="15" customHeight="1" x14ac:dyDescent="0.35">
      <c r="A19" s="22" t="s">
        <v>28</v>
      </c>
      <c r="B19" s="4" t="s">
        <v>31</v>
      </c>
      <c r="C19" s="5">
        <v>15</v>
      </c>
      <c r="D19" s="4">
        <v>1</v>
      </c>
      <c r="E19" s="4">
        <v>10</v>
      </c>
      <c r="F19" s="5">
        <f>C19*D19*E19</f>
        <v>150</v>
      </c>
    </row>
    <row r="20" spans="1:6" ht="15" customHeight="1" x14ac:dyDescent="0.35">
      <c r="A20" s="23" t="s">
        <v>29</v>
      </c>
      <c r="B20" s="6" t="s">
        <v>37</v>
      </c>
      <c r="C20" s="7">
        <v>10</v>
      </c>
      <c r="D20" s="6">
        <v>1</v>
      </c>
      <c r="E20" s="6">
        <v>10</v>
      </c>
      <c r="F20" s="7">
        <f>C20*D20*E20</f>
        <v>100</v>
      </c>
    </row>
    <row r="21" spans="1:6" ht="15" customHeight="1" x14ac:dyDescent="0.35">
      <c r="A21" s="8"/>
      <c r="B21" s="24" t="s">
        <v>38</v>
      </c>
      <c r="C21" s="8"/>
      <c r="D21" s="8"/>
      <c r="E21" s="8"/>
      <c r="F21" s="9">
        <f>SUM(F19:F20)</f>
        <v>250</v>
      </c>
    </row>
    <row r="23" spans="1:6" ht="15" customHeight="1" x14ac:dyDescent="0.35">
      <c r="A23" s="10"/>
      <c r="B23" s="25" t="s">
        <v>39</v>
      </c>
      <c r="C23" s="10"/>
      <c r="D23" s="10"/>
      <c r="E23" s="10"/>
      <c r="F23" s="11">
        <f>F8+F12+F17+F21</f>
        <v>11650</v>
      </c>
    </row>
    <row r="25" spans="1:6" ht="17.399999999999999" customHeight="1" x14ac:dyDescent="0.35">
      <c r="A25" s="12"/>
      <c r="B25" s="16" t="s">
        <v>32</v>
      </c>
      <c r="C25" s="17"/>
      <c r="D25" s="17"/>
      <c r="E25" s="18"/>
      <c r="F25" s="13">
        <f>F23</f>
        <v>11650</v>
      </c>
    </row>
  </sheetData>
  <mergeCells count="3">
    <mergeCell ref="A1:F1"/>
    <mergeCell ref="B25:E25"/>
    <mergeCell ref="A2:F2"/>
  </mergeCells>
  <pageMargins left="0.75" right="0.75" top="1" bottom="1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Budget Summary</vt:lpstr>
      <vt:lpstr>'Budget Summary'!Print_Area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 Mubiri</cp:lastModifiedBy>
  <cp:revision>0</cp:revision>
  <dcterms:created xsi:type="dcterms:W3CDTF">2026-02-11T06:15:26Z</dcterms:created>
  <dcterms:modified xsi:type="dcterms:W3CDTF">2026-02-12T12:14:53Z</dcterms:modified>
  <dc:language>en-US</dc:language>
</cp:coreProperties>
</file>